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KSlavova\Downloads\"/>
    </mc:Choice>
  </mc:AlternateContent>
  <xr:revisionPtr revIDLastSave="0" documentId="13_ncr:1_{10CB33F1-CDFB-4070-A40B-E9A32F21A038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Summary" sheetId="2" state="hidden" r:id="rId1"/>
    <sheet name="version before LTP cuts 180825" sheetId="3" state="hidden" r:id="rId2"/>
    <sheet name="V2 2025 budget digital" sheetId="4" r:id="rId3"/>
    <sheet name="V2 of Summary" sheetId="5" r:id="rId4"/>
    <sheet name="Simulation 2025 budget digital" sheetId="6" state="hidden" r:id="rId5"/>
    <sheet name="Copy of V2 2025 budget digital" sheetId="7" state="hidden" r:id="rId6"/>
  </sheets>
  <definedNames>
    <definedName name="_xlnm._FilterDatabase" localSheetId="5" hidden="1">'Copy of V2 2025 budget digital'!$A$10:$W$225</definedName>
    <definedName name="_xlnm._FilterDatabase" localSheetId="4" hidden="1">'Simulation 2025 budget digital'!$A$10:$W$217</definedName>
    <definedName name="_xlnm._FilterDatabase" localSheetId="1" hidden="1">'version before LTP cuts 180825'!$A$10:$W$225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4" l="1"/>
  <c r="K3" i="4"/>
  <c r="W225" i="7"/>
  <c r="U225" i="7"/>
  <c r="W224" i="7"/>
  <c r="U224" i="7"/>
  <c r="W223" i="7"/>
  <c r="U223" i="7"/>
  <c r="W222" i="7"/>
  <c r="U222" i="7"/>
  <c r="W221" i="7"/>
  <c r="U221" i="7"/>
  <c r="W220" i="7"/>
  <c r="W219" i="7" s="1"/>
  <c r="U220" i="7"/>
  <c r="V219" i="7"/>
  <c r="U219" i="7"/>
  <c r="T219" i="7"/>
  <c r="W218" i="7"/>
  <c r="U218" i="7"/>
  <c r="W217" i="7"/>
  <c r="U217" i="7"/>
  <c r="W216" i="7"/>
  <c r="U216" i="7"/>
  <c r="W215" i="7"/>
  <c r="U215" i="7"/>
  <c r="W214" i="7"/>
  <c r="U214" i="7"/>
  <c r="W213" i="7"/>
  <c r="W211" i="7" s="1"/>
  <c r="U213" i="7"/>
  <c r="W212" i="7"/>
  <c r="U212" i="7"/>
  <c r="U211" i="7" s="1"/>
  <c r="U210" i="7"/>
  <c r="U209" i="7"/>
  <c r="U208" i="7"/>
  <c r="U207" i="7" s="1"/>
  <c r="W207" i="7"/>
  <c r="W206" i="7"/>
  <c r="U206" i="7"/>
  <c r="W205" i="7"/>
  <c r="U205" i="7"/>
  <c r="W204" i="7"/>
  <c r="U204" i="7"/>
  <c r="U202" i="7" s="1"/>
  <c r="W203" i="7"/>
  <c r="U203" i="7"/>
  <c r="W202" i="7"/>
  <c r="W201" i="7" s="1"/>
  <c r="V201" i="7"/>
  <c r="T201" i="7"/>
  <c r="V200" i="7"/>
  <c r="T200" i="7"/>
  <c r="V199" i="7"/>
  <c r="T199" i="7"/>
  <c r="V198" i="7"/>
  <c r="T198" i="7"/>
  <c r="V197" i="7"/>
  <c r="T197" i="7"/>
  <c r="V196" i="7"/>
  <c r="T196" i="7"/>
  <c r="V195" i="7"/>
  <c r="T195" i="7"/>
  <c r="V194" i="7"/>
  <c r="T194" i="7"/>
  <c r="V193" i="7"/>
  <c r="T193" i="7"/>
  <c r="T190" i="7" s="1"/>
  <c r="V192" i="7"/>
  <c r="T192" i="7"/>
  <c r="V191" i="7"/>
  <c r="V190" i="7" s="1"/>
  <c r="T191" i="7"/>
  <c r="W190" i="7"/>
  <c r="U190" i="7"/>
  <c r="V189" i="7"/>
  <c r="V188" i="7"/>
  <c r="V187" i="7"/>
  <c r="V186" i="7"/>
  <c r="V185" i="7"/>
  <c r="V184" i="7"/>
  <c r="W183" i="7"/>
  <c r="V183" i="7"/>
  <c r="U183" i="7"/>
  <c r="T183" i="7"/>
  <c r="V182" i="7"/>
  <c r="U182" i="7"/>
  <c r="T182" i="7"/>
  <c r="W181" i="7"/>
  <c r="V181" i="7"/>
  <c r="U181" i="7"/>
  <c r="T181" i="7"/>
  <c r="V180" i="7"/>
  <c r="U180" i="7"/>
  <c r="T180" i="7"/>
  <c r="V179" i="7"/>
  <c r="U179" i="7"/>
  <c r="T179" i="7"/>
  <c r="V178" i="7"/>
  <c r="U178" i="7"/>
  <c r="T178" i="7"/>
  <c r="V177" i="7"/>
  <c r="V176" i="7" s="1"/>
  <c r="U177" i="7"/>
  <c r="T177" i="7"/>
  <c r="V175" i="7"/>
  <c r="U175" i="7"/>
  <c r="T175" i="7"/>
  <c r="W174" i="7"/>
  <c r="V174" i="7"/>
  <c r="U174" i="7"/>
  <c r="T174" i="7"/>
  <c r="V173" i="7"/>
  <c r="U173" i="7"/>
  <c r="T173" i="7"/>
  <c r="V172" i="7"/>
  <c r="U172" i="7"/>
  <c r="T172" i="7"/>
  <c r="T169" i="7" s="1"/>
  <c r="V171" i="7"/>
  <c r="U171" i="7"/>
  <c r="T171" i="7"/>
  <c r="V170" i="7"/>
  <c r="V169" i="7" s="1"/>
  <c r="U170" i="7"/>
  <c r="U169" i="7" s="1"/>
  <c r="U158" i="7" s="1"/>
  <c r="T170" i="7"/>
  <c r="W169" i="7"/>
  <c r="V168" i="7"/>
  <c r="T168" i="7"/>
  <c r="W167" i="7"/>
  <c r="W162" i="7" s="1"/>
  <c r="W158" i="7" s="1"/>
  <c r="V167" i="7"/>
  <c r="T167" i="7"/>
  <c r="V166" i="7"/>
  <c r="T166" i="7"/>
  <c r="V165" i="7"/>
  <c r="T165" i="7"/>
  <c r="V164" i="7"/>
  <c r="V162" i="7" s="1"/>
  <c r="T164" i="7"/>
  <c r="V163" i="7"/>
  <c r="T163" i="7"/>
  <c r="U162" i="7"/>
  <c r="V161" i="7"/>
  <c r="V159" i="7" s="1"/>
  <c r="V158" i="7" s="1"/>
  <c r="T161" i="7"/>
  <c r="V160" i="7"/>
  <c r="T160" i="7"/>
  <c r="T159" i="7" s="1"/>
  <c r="W159" i="7"/>
  <c r="U159" i="7"/>
  <c r="U156" i="7"/>
  <c r="U151" i="7" s="1"/>
  <c r="T155" i="7"/>
  <c r="T154" i="7"/>
  <c r="T153" i="7"/>
  <c r="T152" i="7"/>
  <c r="T151" i="7" s="1"/>
  <c r="W151" i="7"/>
  <c r="V151" i="7"/>
  <c r="W149" i="7"/>
  <c r="W144" i="7" s="1"/>
  <c r="V148" i="7"/>
  <c r="V147" i="7"/>
  <c r="V146" i="7"/>
  <c r="V145" i="7"/>
  <c r="V144" i="7" s="1"/>
  <c r="U144" i="7"/>
  <c r="T144" i="7"/>
  <c r="W142" i="7"/>
  <c r="V141" i="7"/>
  <c r="T141" i="7"/>
  <c r="V140" i="7"/>
  <c r="V137" i="7" s="1"/>
  <c r="V136" i="7" s="1"/>
  <c r="T140" i="7"/>
  <c r="V139" i="7"/>
  <c r="T139" i="7"/>
  <c r="T137" i="7" s="1"/>
  <c r="T136" i="7" s="1"/>
  <c r="V138" i="7"/>
  <c r="T138" i="7"/>
  <c r="W137" i="7"/>
  <c r="U137" i="7"/>
  <c r="U136" i="7" s="1"/>
  <c r="W135" i="7"/>
  <c r="U135" i="7"/>
  <c r="W134" i="7"/>
  <c r="U134" i="7"/>
  <c r="W133" i="7"/>
  <c r="U133" i="7"/>
  <c r="W132" i="7"/>
  <c r="U132" i="7"/>
  <c r="W131" i="7"/>
  <c r="U131" i="7"/>
  <c r="U129" i="7" s="1"/>
  <c r="W130" i="7"/>
  <c r="W129" i="7" s="1"/>
  <c r="U130" i="7"/>
  <c r="V129" i="7"/>
  <c r="T129" i="7"/>
  <c r="V128" i="7"/>
  <c r="T128" i="7"/>
  <c r="W127" i="7"/>
  <c r="W122" i="7" s="1"/>
  <c r="W114" i="7" s="1"/>
  <c r="T127" i="7"/>
  <c r="W126" i="7"/>
  <c r="T126" i="7"/>
  <c r="V125" i="7"/>
  <c r="T125" i="7"/>
  <c r="V124" i="7"/>
  <c r="T124" i="7"/>
  <c r="V123" i="7"/>
  <c r="V122" i="7" s="1"/>
  <c r="U123" i="7"/>
  <c r="U122" i="7" s="1"/>
  <c r="U114" i="7" s="1"/>
  <c r="T123" i="7"/>
  <c r="T122" i="7" s="1"/>
  <c r="V121" i="7"/>
  <c r="T121" i="7"/>
  <c r="V120" i="7"/>
  <c r="T120" i="7"/>
  <c r="V119" i="7"/>
  <c r="T119" i="7"/>
  <c r="V118" i="7"/>
  <c r="T118" i="7"/>
  <c r="V117" i="7"/>
  <c r="V115" i="7" s="1"/>
  <c r="V114" i="7" s="1"/>
  <c r="T117" i="7"/>
  <c r="V116" i="7"/>
  <c r="T116" i="7"/>
  <c r="W115" i="7"/>
  <c r="U115" i="7"/>
  <c r="V113" i="7"/>
  <c r="T113" i="7"/>
  <c r="V112" i="7"/>
  <c r="T112" i="7"/>
  <c r="V111" i="7"/>
  <c r="T111" i="7"/>
  <c r="V110" i="7"/>
  <c r="T110" i="7"/>
  <c r="V109" i="7"/>
  <c r="T109" i="7"/>
  <c r="T107" i="7" s="1"/>
  <c r="V108" i="7"/>
  <c r="T108" i="7"/>
  <c r="W107" i="7"/>
  <c r="V107" i="7"/>
  <c r="U107" i="7"/>
  <c r="V106" i="7"/>
  <c r="T106" i="7"/>
  <c r="V105" i="7"/>
  <c r="T105" i="7"/>
  <c r="V104" i="7"/>
  <c r="T104" i="7"/>
  <c r="V103" i="7"/>
  <c r="T103" i="7"/>
  <c r="V102" i="7"/>
  <c r="T102" i="7"/>
  <c r="T100" i="7" s="1"/>
  <c r="V101" i="7"/>
  <c r="T101" i="7"/>
  <c r="W100" i="7"/>
  <c r="V100" i="7"/>
  <c r="U100" i="7"/>
  <c r="V99" i="7"/>
  <c r="T99" i="7"/>
  <c r="V98" i="7"/>
  <c r="T98" i="7"/>
  <c r="V97" i="7"/>
  <c r="T97" i="7"/>
  <c r="V96" i="7"/>
  <c r="T96" i="7"/>
  <c r="V95" i="7"/>
  <c r="T95" i="7"/>
  <c r="V94" i="7"/>
  <c r="T94" i="7"/>
  <c r="W93" i="7"/>
  <c r="W92" i="7" s="1"/>
  <c r="V93" i="7"/>
  <c r="V92" i="7" s="1"/>
  <c r="U93" i="7"/>
  <c r="U92" i="7" s="1"/>
  <c r="V91" i="7"/>
  <c r="T91" i="7"/>
  <c r="W90" i="7"/>
  <c r="V90" i="7"/>
  <c r="T90" i="7"/>
  <c r="V89" i="7"/>
  <c r="T89" i="7"/>
  <c r="M89" i="7"/>
  <c r="V88" i="7"/>
  <c r="T88" i="7"/>
  <c r="V87" i="7"/>
  <c r="T87" i="7"/>
  <c r="V86" i="7"/>
  <c r="T86" i="7"/>
  <c r="T85" i="7" s="1"/>
  <c r="M86" i="7"/>
  <c r="W85" i="7"/>
  <c r="V85" i="7"/>
  <c r="U85" i="7"/>
  <c r="T84" i="7"/>
  <c r="W83" i="7"/>
  <c r="W78" i="7" s="1"/>
  <c r="W77" i="7" s="1"/>
  <c r="T83" i="7"/>
  <c r="V82" i="7"/>
  <c r="T82" i="7"/>
  <c r="V81" i="7"/>
  <c r="T81" i="7"/>
  <c r="V80" i="7"/>
  <c r="T80" i="7"/>
  <c r="V79" i="7"/>
  <c r="V78" i="7" s="1"/>
  <c r="V77" i="7" s="1"/>
  <c r="T79" i="7"/>
  <c r="U78" i="7"/>
  <c r="U77" i="7" s="1"/>
  <c r="T78" i="7"/>
  <c r="T77" i="7" s="1"/>
  <c r="V76" i="7"/>
  <c r="W75" i="7"/>
  <c r="V75" i="7"/>
  <c r="V74" i="7"/>
  <c r="V73" i="7"/>
  <c r="V72" i="7"/>
  <c r="V71" i="7"/>
  <c r="V70" i="7" s="1"/>
  <c r="W70" i="7"/>
  <c r="U70" i="7"/>
  <c r="T70" i="7"/>
  <c r="V69" i="7"/>
  <c r="T69" i="7"/>
  <c r="W68" i="7"/>
  <c r="V68" i="7"/>
  <c r="T68" i="7"/>
  <c r="V67" i="7"/>
  <c r="T67" i="7"/>
  <c r="V66" i="7"/>
  <c r="T66" i="7"/>
  <c r="T63" i="7" s="1"/>
  <c r="V65" i="7"/>
  <c r="T65" i="7"/>
  <c r="V64" i="7"/>
  <c r="V63" i="7" s="1"/>
  <c r="T64" i="7"/>
  <c r="W63" i="7"/>
  <c r="U63" i="7"/>
  <c r="V62" i="7"/>
  <c r="T62" i="7"/>
  <c r="V61" i="7"/>
  <c r="T61" i="7"/>
  <c r="V60" i="7"/>
  <c r="T60" i="7"/>
  <c r="V59" i="7"/>
  <c r="T59" i="7"/>
  <c r="T56" i="7" s="1"/>
  <c r="V58" i="7"/>
  <c r="T58" i="7"/>
  <c r="V57" i="7"/>
  <c r="V56" i="7" s="1"/>
  <c r="T57" i="7"/>
  <c r="W56" i="7"/>
  <c r="W48" i="7" s="1"/>
  <c r="U56" i="7"/>
  <c r="U48" i="7" s="1"/>
  <c r="V55" i="7"/>
  <c r="T55" i="7"/>
  <c r="V54" i="7"/>
  <c r="T54" i="7"/>
  <c r="V53" i="7"/>
  <c r="T53" i="7"/>
  <c r="V52" i="7"/>
  <c r="T52" i="7"/>
  <c r="V51" i="7"/>
  <c r="T51" i="7"/>
  <c r="V50" i="7"/>
  <c r="V49" i="7" s="1"/>
  <c r="T50" i="7"/>
  <c r="W49" i="7"/>
  <c r="U49" i="7"/>
  <c r="T49" i="7"/>
  <c r="V47" i="7"/>
  <c r="T47" i="7"/>
  <c r="W46" i="7"/>
  <c r="W41" i="7" s="1"/>
  <c r="W40" i="7" s="1"/>
  <c r="V46" i="7"/>
  <c r="T46" i="7"/>
  <c r="V45" i="7"/>
  <c r="T45" i="7"/>
  <c r="V44" i="7"/>
  <c r="T44" i="7"/>
  <c r="V43" i="7"/>
  <c r="T43" i="7"/>
  <c r="T41" i="7" s="1"/>
  <c r="T40" i="7" s="1"/>
  <c r="V42" i="7"/>
  <c r="V41" i="7" s="1"/>
  <c r="V40" i="7" s="1"/>
  <c r="T42" i="7"/>
  <c r="U41" i="7"/>
  <c r="U40" i="7"/>
  <c r="V39" i="7"/>
  <c r="V38" i="7"/>
  <c r="W37" i="7"/>
  <c r="V37" i="7"/>
  <c r="W36" i="7"/>
  <c r="W35" i="7"/>
  <c r="W33" i="7" s="1"/>
  <c r="V35" i="7"/>
  <c r="V33" i="7" s="1"/>
  <c r="W34" i="7"/>
  <c r="V34" i="7"/>
  <c r="U33" i="7"/>
  <c r="T33" i="7"/>
  <c r="V32" i="7"/>
  <c r="V31" i="7"/>
  <c r="V26" i="7" s="1"/>
  <c r="V30" i="7"/>
  <c r="V29" i="7"/>
  <c r="H29" i="7"/>
  <c r="V28" i="7"/>
  <c r="V27" i="7"/>
  <c r="W26" i="7"/>
  <c r="U26" i="7"/>
  <c r="T26" i="7"/>
  <c r="V25" i="7"/>
  <c r="V24" i="7"/>
  <c r="V23" i="7"/>
  <c r="V22" i="7"/>
  <c r="V21" i="7"/>
  <c r="V20" i="7"/>
  <c r="V19" i="7" s="1"/>
  <c r="W19" i="7"/>
  <c r="W11" i="7" s="1"/>
  <c r="U19" i="7"/>
  <c r="T19" i="7"/>
  <c r="V18" i="7"/>
  <c r="V17" i="7"/>
  <c r="V16" i="7"/>
  <c r="V15" i="7"/>
  <c r="V14" i="7"/>
  <c r="V12" i="7" s="1"/>
  <c r="V13" i="7"/>
  <c r="W12" i="7"/>
  <c r="U12" i="7"/>
  <c r="T12" i="7"/>
  <c r="T11" i="7" s="1"/>
  <c r="U11" i="7"/>
  <c r="W217" i="6"/>
  <c r="U217" i="6"/>
  <c r="W216" i="6"/>
  <c r="U216" i="6"/>
  <c r="W215" i="6"/>
  <c r="U215" i="6"/>
  <c r="W214" i="6"/>
  <c r="U214" i="6"/>
  <c r="W213" i="6"/>
  <c r="U213" i="6"/>
  <c r="W212" i="6"/>
  <c r="U212" i="6"/>
  <c r="W211" i="6"/>
  <c r="U211" i="6"/>
  <c r="U209" i="6" s="1"/>
  <c r="V210" i="6"/>
  <c r="T210" i="6"/>
  <c r="T209" i="6" s="1"/>
  <c r="W209" i="6"/>
  <c r="V209" i="6"/>
  <c r="W208" i="6"/>
  <c r="U208" i="6"/>
  <c r="W207" i="6"/>
  <c r="U207" i="6"/>
  <c r="W206" i="6"/>
  <c r="U206" i="6"/>
  <c r="W205" i="6"/>
  <c r="U205" i="6"/>
  <c r="W204" i="6"/>
  <c r="U204" i="6"/>
  <c r="W203" i="6"/>
  <c r="U203" i="6"/>
  <c r="W202" i="6"/>
  <c r="W201" i="6" s="1"/>
  <c r="U202" i="6"/>
  <c r="U201" i="6" s="1"/>
  <c r="U200" i="6"/>
  <c r="U199" i="6"/>
  <c r="U198" i="6"/>
  <c r="W197" i="6"/>
  <c r="U197" i="6"/>
  <c r="W196" i="6"/>
  <c r="U196" i="6"/>
  <c r="W195" i="6"/>
  <c r="U195" i="6"/>
  <c r="W194" i="6"/>
  <c r="U194" i="6"/>
  <c r="W193" i="6"/>
  <c r="U193" i="6"/>
  <c r="U192" i="6" s="1"/>
  <c r="W192" i="6"/>
  <c r="V191" i="6"/>
  <c r="T191" i="6"/>
  <c r="V190" i="6"/>
  <c r="T190" i="6"/>
  <c r="V189" i="6"/>
  <c r="V188" i="6" s="1"/>
  <c r="T189" i="6"/>
  <c r="T188" i="6" s="1"/>
  <c r="W188" i="6"/>
  <c r="U188" i="6"/>
  <c r="T187" i="6"/>
  <c r="T186" i="6"/>
  <c r="T185" i="6"/>
  <c r="T181" i="6" s="1"/>
  <c r="T184" i="6"/>
  <c r="T183" i="6"/>
  <c r="V182" i="6"/>
  <c r="V181" i="6" s="1"/>
  <c r="T182" i="6"/>
  <c r="W181" i="6"/>
  <c r="U181" i="6"/>
  <c r="U164" i="6" s="1"/>
  <c r="V179" i="6"/>
  <c r="T179" i="6"/>
  <c r="V178" i="6"/>
  <c r="T178" i="6"/>
  <c r="V177" i="6"/>
  <c r="T177" i="6"/>
  <c r="T176" i="6" s="1"/>
  <c r="W176" i="6"/>
  <c r="V176" i="6"/>
  <c r="U176" i="6"/>
  <c r="V175" i="6"/>
  <c r="V174" i="6"/>
  <c r="V173" i="6"/>
  <c r="V172" i="6"/>
  <c r="V171" i="6"/>
  <c r="V170" i="6"/>
  <c r="V169" i="6"/>
  <c r="V168" i="6"/>
  <c r="V167" i="6"/>
  <c r="T167" i="6"/>
  <c r="V166" i="6"/>
  <c r="T166" i="6"/>
  <c r="T165" i="6" s="1"/>
  <c r="W165" i="6"/>
  <c r="W164" i="6" s="1"/>
  <c r="V165" i="6"/>
  <c r="U165" i="6"/>
  <c r="U162" i="6"/>
  <c r="U157" i="6" s="1"/>
  <c r="T161" i="6"/>
  <c r="T157" i="6" s="1"/>
  <c r="T160" i="6"/>
  <c r="T159" i="6"/>
  <c r="T158" i="6"/>
  <c r="W157" i="6"/>
  <c r="V157" i="6"/>
  <c r="W155" i="6"/>
  <c r="W150" i="6" s="1"/>
  <c r="V154" i="6"/>
  <c r="V153" i="6"/>
  <c r="V152" i="6"/>
  <c r="V151" i="6"/>
  <c r="V150" i="6" s="1"/>
  <c r="U150" i="6"/>
  <c r="T150" i="6"/>
  <c r="W148" i="6"/>
  <c r="V147" i="6"/>
  <c r="V146" i="6"/>
  <c r="V145" i="6"/>
  <c r="V144" i="6"/>
  <c r="T144" i="6"/>
  <c r="W143" i="6"/>
  <c r="V143" i="6"/>
  <c r="V142" i="6" s="1"/>
  <c r="U143" i="6"/>
  <c r="T143" i="6"/>
  <c r="T142" i="6" s="1"/>
  <c r="W141" i="6"/>
  <c r="U141" i="6"/>
  <c r="W140" i="6"/>
  <c r="U140" i="6"/>
  <c r="W139" i="6"/>
  <c r="U139" i="6"/>
  <c r="W138" i="6"/>
  <c r="U138" i="6"/>
  <c r="W137" i="6"/>
  <c r="W135" i="6" s="1"/>
  <c r="W120" i="6" s="1"/>
  <c r="U137" i="6"/>
  <c r="W136" i="6"/>
  <c r="U136" i="6"/>
  <c r="U135" i="6" s="1"/>
  <c r="V135" i="6"/>
  <c r="T135" i="6"/>
  <c r="V134" i="6"/>
  <c r="T134" i="6"/>
  <c r="W133" i="6"/>
  <c r="T133" i="6"/>
  <c r="W132" i="6"/>
  <c r="T132" i="6"/>
  <c r="V131" i="6"/>
  <c r="T131" i="6"/>
  <c r="V130" i="6"/>
  <c r="T130" i="6"/>
  <c r="T128" i="6" s="1"/>
  <c r="V129" i="6"/>
  <c r="V128" i="6" s="1"/>
  <c r="U129" i="6"/>
  <c r="U128" i="6" s="1"/>
  <c r="T129" i="6"/>
  <c r="W128" i="6"/>
  <c r="V127" i="6"/>
  <c r="T127" i="6"/>
  <c r="V126" i="6"/>
  <c r="T126" i="6"/>
  <c r="V125" i="6"/>
  <c r="T125" i="6"/>
  <c r="V124" i="6"/>
  <c r="T124" i="6"/>
  <c r="V123" i="6"/>
  <c r="T123" i="6"/>
  <c r="V122" i="6"/>
  <c r="V121" i="6" s="1"/>
  <c r="T122" i="6"/>
  <c r="W121" i="6"/>
  <c r="U121" i="6"/>
  <c r="T121" i="6"/>
  <c r="V119" i="6"/>
  <c r="T119" i="6"/>
  <c r="V118" i="6"/>
  <c r="T118" i="6"/>
  <c r="V117" i="6"/>
  <c r="T117" i="6"/>
  <c r="V116" i="6"/>
  <c r="T116" i="6"/>
  <c r="V115" i="6"/>
  <c r="T115" i="6"/>
  <c r="V114" i="6"/>
  <c r="T114" i="6"/>
  <c r="T113" i="6" s="1"/>
  <c r="W113" i="6"/>
  <c r="U113" i="6"/>
  <c r="V112" i="6"/>
  <c r="T112" i="6"/>
  <c r="V111" i="6"/>
  <c r="T111" i="6"/>
  <c r="V110" i="6"/>
  <c r="T110" i="6"/>
  <c r="V109" i="6"/>
  <c r="T109" i="6"/>
  <c r="V108" i="6"/>
  <c r="T108" i="6"/>
  <c r="V107" i="6"/>
  <c r="T107" i="6"/>
  <c r="T106" i="6" s="1"/>
  <c r="W106" i="6"/>
  <c r="U106" i="6"/>
  <c r="V105" i="6"/>
  <c r="T105" i="6"/>
  <c r="V104" i="6"/>
  <c r="T104" i="6"/>
  <c r="V103" i="6"/>
  <c r="T103" i="6"/>
  <c r="V102" i="6"/>
  <c r="T102" i="6"/>
  <c r="V101" i="6"/>
  <c r="V99" i="6" s="1"/>
  <c r="T101" i="6"/>
  <c r="V100" i="6"/>
  <c r="T100" i="6"/>
  <c r="T99" i="6" s="1"/>
  <c r="W99" i="6"/>
  <c r="U99" i="6"/>
  <c r="U98" i="6" s="1"/>
  <c r="V97" i="6"/>
  <c r="W96" i="6"/>
  <c r="V95" i="6"/>
  <c r="V94" i="6"/>
  <c r="V93" i="6"/>
  <c r="V92" i="6"/>
  <c r="T92" i="6"/>
  <c r="W91" i="6"/>
  <c r="V91" i="6"/>
  <c r="U91" i="6"/>
  <c r="T91" i="6"/>
  <c r="V90" i="6"/>
  <c r="T90" i="6"/>
  <c r="W89" i="6"/>
  <c r="T89" i="6"/>
  <c r="W88" i="6"/>
  <c r="W84" i="6" s="1"/>
  <c r="T88" i="6"/>
  <c r="V87" i="6"/>
  <c r="T87" i="6"/>
  <c r="V86" i="6"/>
  <c r="T86" i="6"/>
  <c r="V85" i="6"/>
  <c r="T85" i="6"/>
  <c r="V84" i="6"/>
  <c r="U84" i="6"/>
  <c r="T83" i="6"/>
  <c r="T82" i="6"/>
  <c r="T81" i="6"/>
  <c r="T80" i="6"/>
  <c r="T79" i="6"/>
  <c r="T78" i="6"/>
  <c r="T77" i="6" s="1"/>
  <c r="W77" i="6"/>
  <c r="W70" i="6" s="1"/>
  <c r="V77" i="6"/>
  <c r="U77" i="6"/>
  <c r="W75" i="6"/>
  <c r="V74" i="6"/>
  <c r="V73" i="6"/>
  <c r="V72" i="6"/>
  <c r="V70" i="6" s="1"/>
  <c r="V71" i="6"/>
  <c r="U70" i="6"/>
  <c r="U55" i="6" s="1"/>
  <c r="T70" i="6"/>
  <c r="V69" i="6"/>
  <c r="W68" i="6"/>
  <c r="W67" i="6"/>
  <c r="W63" i="6" s="1"/>
  <c r="V66" i="6"/>
  <c r="V65" i="6"/>
  <c r="V64" i="6"/>
  <c r="V63" i="6" s="1"/>
  <c r="U63" i="6"/>
  <c r="T63" i="6"/>
  <c r="V62" i="6"/>
  <c r="T62" i="6"/>
  <c r="V61" i="6"/>
  <c r="T61" i="6"/>
  <c r="W60" i="6"/>
  <c r="T60" i="6"/>
  <c r="V59" i="6"/>
  <c r="T59" i="6"/>
  <c r="V58" i="6"/>
  <c r="T58" i="6"/>
  <c r="V57" i="6"/>
  <c r="T57" i="6"/>
  <c r="W56" i="6"/>
  <c r="U56" i="6"/>
  <c r="T56" i="6"/>
  <c r="W55" i="6"/>
  <c r="V54" i="6"/>
  <c r="V53" i="6"/>
  <c r="V52" i="6"/>
  <c r="V51" i="6"/>
  <c r="V50" i="6"/>
  <c r="V48" i="6" s="1"/>
  <c r="V49" i="6"/>
  <c r="W48" i="6"/>
  <c r="U48" i="6"/>
  <c r="T48" i="6"/>
  <c r="V47" i="6"/>
  <c r="V46" i="6"/>
  <c r="V45" i="6"/>
  <c r="V44" i="6"/>
  <c r="V43" i="6"/>
  <c r="V42" i="6"/>
  <c r="V41" i="6" s="1"/>
  <c r="W41" i="6"/>
  <c r="U41" i="6"/>
  <c r="T41" i="6"/>
  <c r="W39" i="6"/>
  <c r="W34" i="6" s="1"/>
  <c r="U39" i="6"/>
  <c r="W38" i="6"/>
  <c r="T38" i="6"/>
  <c r="V37" i="6"/>
  <c r="T37" i="6"/>
  <c r="V36" i="6"/>
  <c r="T36" i="6"/>
  <c r="V35" i="6"/>
  <c r="V34" i="6" s="1"/>
  <c r="T35" i="6"/>
  <c r="T34" i="6" s="1"/>
  <c r="U34" i="6"/>
  <c r="U33" i="6"/>
  <c r="T33" i="6"/>
  <c r="W32" i="6"/>
  <c r="W27" i="6" s="1"/>
  <c r="U32" i="6"/>
  <c r="T32" i="6"/>
  <c r="V31" i="6"/>
  <c r="U31" i="6"/>
  <c r="T31" i="6"/>
  <c r="V30" i="6"/>
  <c r="U30" i="6"/>
  <c r="U27" i="6" s="1"/>
  <c r="T30" i="6"/>
  <c r="V29" i="6"/>
  <c r="U29" i="6"/>
  <c r="T29" i="6"/>
  <c r="V28" i="6"/>
  <c r="U28" i="6"/>
  <c r="T28" i="6"/>
  <c r="V27" i="6"/>
  <c r="W25" i="6"/>
  <c r="U25" i="6"/>
  <c r="U20" i="6" s="1"/>
  <c r="U19" i="6" s="1"/>
  <c r="V24" i="6"/>
  <c r="T24" i="6"/>
  <c r="V23" i="6"/>
  <c r="T23" i="6"/>
  <c r="T20" i="6" s="1"/>
  <c r="V22" i="6"/>
  <c r="V20" i="6" s="1"/>
  <c r="V19" i="6" s="1"/>
  <c r="T22" i="6"/>
  <c r="T21" i="6"/>
  <c r="W20" i="6"/>
  <c r="W19" i="6"/>
  <c r="W17" i="6"/>
  <c r="W12" i="6" s="1"/>
  <c r="W11" i="6" s="1"/>
  <c r="V16" i="6"/>
  <c r="V15" i="6"/>
  <c r="V14" i="6"/>
  <c r="V13" i="6"/>
  <c r="V12" i="6" s="1"/>
  <c r="V11" i="6" s="1"/>
  <c r="U12" i="6"/>
  <c r="T12" i="6"/>
  <c r="U11" i="6"/>
  <c r="T11" i="6"/>
  <c r="D26" i="5"/>
  <c r="I22" i="5"/>
  <c r="I23" i="5" s="1"/>
  <c r="J21" i="5"/>
  <c r="D16" i="5"/>
  <c r="E16" i="5" s="1"/>
  <c r="C12" i="5"/>
  <c r="E12" i="5" s="1"/>
  <c r="B7" i="5"/>
  <c r="I4" i="5"/>
  <c r="I9" i="5" s="1"/>
  <c r="W232" i="4"/>
  <c r="U232" i="4"/>
  <c r="W231" i="4"/>
  <c r="U231" i="4"/>
  <c r="W230" i="4"/>
  <c r="U230" i="4"/>
  <c r="W229" i="4"/>
  <c r="W227" i="4" s="1"/>
  <c r="W226" i="4" s="1"/>
  <c r="U229" i="4"/>
  <c r="U227" i="4" s="1"/>
  <c r="U226" i="4" s="1"/>
  <c r="W228" i="4"/>
  <c r="U228" i="4"/>
  <c r="V226" i="4"/>
  <c r="T226" i="4"/>
  <c r="W225" i="4"/>
  <c r="U225" i="4"/>
  <c r="W224" i="4"/>
  <c r="U224" i="4"/>
  <c r="W223" i="4"/>
  <c r="U223" i="4"/>
  <c r="W222" i="4"/>
  <c r="U222" i="4"/>
  <c r="W221" i="4"/>
  <c r="U221" i="4"/>
  <c r="W220" i="4"/>
  <c r="W218" i="4" s="1"/>
  <c r="U220" i="4"/>
  <c r="U218" i="4" s="1"/>
  <c r="W219" i="4"/>
  <c r="U219" i="4"/>
  <c r="U217" i="4"/>
  <c r="U216" i="4"/>
  <c r="U215" i="4"/>
  <c r="U214" i="4" s="1"/>
  <c r="W214" i="4"/>
  <c r="W213" i="4"/>
  <c r="U213" i="4"/>
  <c r="W212" i="4"/>
  <c r="U212" i="4"/>
  <c r="W211" i="4"/>
  <c r="U211" i="4"/>
  <c r="W210" i="4"/>
  <c r="W209" i="4" s="1"/>
  <c r="U210" i="4"/>
  <c r="U209" i="4" s="1"/>
  <c r="V208" i="4"/>
  <c r="T208" i="4"/>
  <c r="V207" i="4"/>
  <c r="T207" i="4"/>
  <c r="V206" i="4"/>
  <c r="T206" i="4"/>
  <c r="V205" i="4"/>
  <c r="T205" i="4"/>
  <c r="V204" i="4"/>
  <c r="T204" i="4"/>
  <c r="V203" i="4"/>
  <c r="T203" i="4"/>
  <c r="V202" i="4"/>
  <c r="T202" i="4"/>
  <c r="V201" i="4"/>
  <c r="T201" i="4"/>
  <c r="V200" i="4"/>
  <c r="T200" i="4"/>
  <c r="V199" i="4"/>
  <c r="T199" i="4"/>
  <c r="V198" i="4"/>
  <c r="T198" i="4"/>
  <c r="T197" i="4" s="1"/>
  <c r="W197" i="4"/>
  <c r="W190" i="4" s="1"/>
  <c r="U197" i="4"/>
  <c r="U190" i="4" s="1"/>
  <c r="V196" i="4"/>
  <c r="V195" i="4"/>
  <c r="T195" i="4"/>
  <c r="V194" i="4"/>
  <c r="T194" i="4"/>
  <c r="V193" i="4"/>
  <c r="V190" i="4" s="1"/>
  <c r="T193" i="4"/>
  <c r="V192" i="4"/>
  <c r="T192" i="4"/>
  <c r="V191" i="4"/>
  <c r="T191" i="4"/>
  <c r="V189" i="4"/>
  <c r="V188" i="4"/>
  <c r="V187" i="4"/>
  <c r="V186" i="4"/>
  <c r="V185" i="4"/>
  <c r="V184" i="4"/>
  <c r="W183" i="4"/>
  <c r="U183" i="4"/>
  <c r="T183" i="4"/>
  <c r="V182" i="4"/>
  <c r="T182" i="4"/>
  <c r="V181" i="4"/>
  <c r="T181" i="4"/>
  <c r="V180" i="4"/>
  <c r="T180" i="4"/>
  <c r="V179" i="4"/>
  <c r="T179" i="4"/>
  <c r="V178" i="4"/>
  <c r="T178" i="4"/>
  <c r="V177" i="4"/>
  <c r="T177" i="4"/>
  <c r="V175" i="4"/>
  <c r="T175" i="4"/>
  <c r="V174" i="4"/>
  <c r="T174" i="4"/>
  <c r="V173" i="4"/>
  <c r="T173" i="4"/>
  <c r="V172" i="4"/>
  <c r="T172" i="4"/>
  <c r="V171" i="4"/>
  <c r="V169" i="4" s="1"/>
  <c r="T171" i="4"/>
  <c r="V170" i="4"/>
  <c r="T170" i="4"/>
  <c r="W169" i="4"/>
  <c r="U169" i="4"/>
  <c r="V168" i="4"/>
  <c r="T168" i="4"/>
  <c r="V167" i="4"/>
  <c r="T167" i="4"/>
  <c r="V166" i="4"/>
  <c r="T166" i="4"/>
  <c r="V165" i="4"/>
  <c r="T165" i="4"/>
  <c r="V164" i="4"/>
  <c r="T164" i="4"/>
  <c r="T162" i="4" s="1"/>
  <c r="V163" i="4"/>
  <c r="V162" i="4" s="1"/>
  <c r="T163" i="4"/>
  <c r="W162" i="4"/>
  <c r="U162" i="4"/>
  <c r="V161" i="4"/>
  <c r="T161" i="4"/>
  <c r="V160" i="4"/>
  <c r="T160" i="4"/>
  <c r="T159" i="4" s="1"/>
  <c r="W159" i="4"/>
  <c r="V159" i="4"/>
  <c r="U159" i="4"/>
  <c r="U156" i="4"/>
  <c r="U151" i="4" s="1"/>
  <c r="T155" i="4"/>
  <c r="T154" i="4"/>
  <c r="T153" i="4"/>
  <c r="T152" i="4"/>
  <c r="W151" i="4"/>
  <c r="V151" i="4"/>
  <c r="V150" i="4"/>
  <c r="T150" i="4"/>
  <c r="W149" i="4"/>
  <c r="W144" i="4" s="1"/>
  <c r="V149" i="4"/>
  <c r="T149" i="4"/>
  <c r="V148" i="4"/>
  <c r="T148" i="4"/>
  <c r="V147" i="4"/>
  <c r="T147" i="4"/>
  <c r="V146" i="4"/>
  <c r="T146" i="4"/>
  <c r="V145" i="4"/>
  <c r="T145" i="4"/>
  <c r="U144" i="4"/>
  <c r="W142" i="4"/>
  <c r="V141" i="4"/>
  <c r="T141" i="4"/>
  <c r="V140" i="4"/>
  <c r="T140" i="4"/>
  <c r="V139" i="4"/>
  <c r="T139" i="4"/>
  <c r="V138" i="4"/>
  <c r="V137" i="4" s="1"/>
  <c r="T138" i="4"/>
  <c r="W137" i="4"/>
  <c r="U137" i="4"/>
  <c r="W135" i="4"/>
  <c r="U135" i="4"/>
  <c r="W134" i="4"/>
  <c r="U134" i="4"/>
  <c r="W133" i="4"/>
  <c r="U133" i="4"/>
  <c r="W132" i="4"/>
  <c r="U132" i="4"/>
  <c r="W131" i="4"/>
  <c r="U131" i="4"/>
  <c r="W130" i="4"/>
  <c r="U130" i="4"/>
  <c r="V129" i="4"/>
  <c r="U129" i="4"/>
  <c r="T129" i="4"/>
  <c r="V128" i="4"/>
  <c r="T128" i="4"/>
  <c r="V127" i="4"/>
  <c r="T127" i="4"/>
  <c r="V126" i="4"/>
  <c r="T126" i="4"/>
  <c r="V125" i="4"/>
  <c r="T125" i="4"/>
  <c r="V124" i="4"/>
  <c r="T124" i="4"/>
  <c r="V123" i="4"/>
  <c r="U123" i="4"/>
  <c r="U122" i="4" s="1"/>
  <c r="T123" i="4"/>
  <c r="W122" i="4"/>
  <c r="V122" i="4"/>
  <c r="V121" i="4"/>
  <c r="T121" i="4"/>
  <c r="V120" i="4"/>
  <c r="T120" i="4"/>
  <c r="V119" i="4"/>
  <c r="T119" i="4"/>
  <c r="V118" i="4"/>
  <c r="T118" i="4"/>
  <c r="V117" i="4"/>
  <c r="T117" i="4"/>
  <c r="V116" i="4"/>
  <c r="T116" i="4"/>
  <c r="W115" i="4"/>
  <c r="V115" i="4"/>
  <c r="U115" i="4"/>
  <c r="V113" i="4"/>
  <c r="T113" i="4"/>
  <c r="V112" i="4"/>
  <c r="T112" i="4"/>
  <c r="V111" i="4"/>
  <c r="T111" i="4"/>
  <c r="V110" i="4"/>
  <c r="T110" i="4"/>
  <c r="V109" i="4"/>
  <c r="T109" i="4"/>
  <c r="V108" i="4"/>
  <c r="T108" i="4"/>
  <c r="W107" i="4"/>
  <c r="U107" i="4"/>
  <c r="V106" i="4"/>
  <c r="T106" i="4"/>
  <c r="V105" i="4"/>
  <c r="T105" i="4"/>
  <c r="V104" i="4"/>
  <c r="T104" i="4"/>
  <c r="V103" i="4"/>
  <c r="T103" i="4"/>
  <c r="V102" i="4"/>
  <c r="V100" i="4" s="1"/>
  <c r="T102" i="4"/>
  <c r="T100" i="4" s="1"/>
  <c r="V101" i="4"/>
  <c r="T101" i="4"/>
  <c r="W100" i="4"/>
  <c r="U100" i="4"/>
  <c r="V99" i="4"/>
  <c r="T99" i="4"/>
  <c r="V98" i="4"/>
  <c r="T98" i="4"/>
  <c r="V97" i="4"/>
  <c r="T97" i="4"/>
  <c r="V96" i="4"/>
  <c r="T96" i="4"/>
  <c r="V95" i="4"/>
  <c r="T95" i="4"/>
  <c r="V94" i="4"/>
  <c r="T94" i="4"/>
  <c r="W93" i="4"/>
  <c r="W92" i="4" s="1"/>
  <c r="U93" i="4"/>
  <c r="U92" i="4" s="1"/>
  <c r="V91" i="4"/>
  <c r="T91" i="4"/>
  <c r="N91" i="4"/>
  <c r="W90" i="4"/>
  <c r="W85" i="4" s="1"/>
  <c r="V90" i="4"/>
  <c r="T90" i="4"/>
  <c r="V89" i="4"/>
  <c r="T89" i="4"/>
  <c r="M89" i="4"/>
  <c r="V88" i="4"/>
  <c r="T88" i="4"/>
  <c r="V87" i="4"/>
  <c r="T87" i="4"/>
  <c r="V86" i="4"/>
  <c r="T86" i="4"/>
  <c r="U85" i="4"/>
  <c r="T84" i="4"/>
  <c r="W83" i="4"/>
  <c r="W78" i="4" s="1"/>
  <c r="T83" i="4"/>
  <c r="V82" i="4"/>
  <c r="T82" i="4"/>
  <c r="K82" i="4"/>
  <c r="V81" i="4"/>
  <c r="T81" i="4"/>
  <c r="V80" i="4"/>
  <c r="T80" i="4"/>
  <c r="V79" i="4"/>
  <c r="V78" i="4" s="1"/>
  <c r="T79" i="4"/>
  <c r="R79" i="4"/>
  <c r="U78" i="4"/>
  <c r="V76" i="4"/>
  <c r="T76" i="4"/>
  <c r="W75" i="4"/>
  <c r="W70" i="4" s="1"/>
  <c r="W48" i="4" s="1"/>
  <c r="V75" i="4"/>
  <c r="T75" i="4"/>
  <c r="V74" i="4"/>
  <c r="T74" i="4"/>
  <c r="V73" i="4"/>
  <c r="T73" i="4"/>
  <c r="V72" i="4"/>
  <c r="T72" i="4"/>
  <c r="V71" i="4"/>
  <c r="T71" i="4"/>
  <c r="T70" i="4" s="1"/>
  <c r="U70" i="4"/>
  <c r="V69" i="4"/>
  <c r="T69" i="4"/>
  <c r="W68" i="4"/>
  <c r="V68" i="4"/>
  <c r="T68" i="4"/>
  <c r="V67" i="4"/>
  <c r="T67" i="4"/>
  <c r="V66" i="4"/>
  <c r="T66" i="4"/>
  <c r="V65" i="4"/>
  <c r="T65" i="4"/>
  <c r="V64" i="4"/>
  <c r="T64" i="4"/>
  <c r="W63" i="4"/>
  <c r="U63" i="4"/>
  <c r="V62" i="4"/>
  <c r="T62" i="4"/>
  <c r="V61" i="4"/>
  <c r="T61" i="4"/>
  <c r="V60" i="4"/>
  <c r="T60" i="4"/>
  <c r="V59" i="4"/>
  <c r="T59" i="4"/>
  <c r="V58" i="4"/>
  <c r="T58" i="4"/>
  <c r="V57" i="4"/>
  <c r="T57" i="4"/>
  <c r="W56" i="4"/>
  <c r="U56" i="4"/>
  <c r="V55" i="4"/>
  <c r="T55" i="4"/>
  <c r="V54" i="4"/>
  <c r="T54" i="4"/>
  <c r="V53" i="4"/>
  <c r="T53" i="4"/>
  <c r="V52" i="4"/>
  <c r="T52" i="4"/>
  <c r="V51" i="4"/>
  <c r="T51" i="4"/>
  <c r="V50" i="4"/>
  <c r="T50" i="4"/>
  <c r="W49" i="4"/>
  <c r="U49" i="4"/>
  <c r="U48" i="4"/>
  <c r="V47" i="4"/>
  <c r="T47" i="4"/>
  <c r="W46" i="4"/>
  <c r="W41" i="4" s="1"/>
  <c r="W40" i="4" s="1"/>
  <c r="V46" i="4"/>
  <c r="T46" i="4"/>
  <c r="V45" i="4"/>
  <c r="T45" i="4"/>
  <c r="V44" i="4"/>
  <c r="T44" i="4"/>
  <c r="V43" i="4"/>
  <c r="T43" i="4"/>
  <c r="V42" i="4"/>
  <c r="T42" i="4"/>
  <c r="U41" i="4"/>
  <c r="U40" i="4" s="1"/>
  <c r="V39" i="4"/>
  <c r="V38" i="4"/>
  <c r="W37" i="4"/>
  <c r="W33" i="4" s="1"/>
  <c r="V37" i="4"/>
  <c r="W36" i="4"/>
  <c r="W35" i="4"/>
  <c r="V35" i="4"/>
  <c r="W34" i="4"/>
  <c r="V34" i="4"/>
  <c r="V33" i="4" s="1"/>
  <c r="U33" i="4"/>
  <c r="T33" i="4"/>
  <c r="V32" i="4"/>
  <c r="V31" i="4"/>
  <c r="V30" i="4"/>
  <c r="V29" i="4"/>
  <c r="H29" i="4"/>
  <c r="V28" i="4"/>
  <c r="V27" i="4"/>
  <c r="W26" i="4"/>
  <c r="U26" i="4"/>
  <c r="T26" i="4"/>
  <c r="V25" i="4"/>
  <c r="V24" i="4"/>
  <c r="V23" i="4"/>
  <c r="V22" i="4"/>
  <c r="V21" i="4"/>
  <c r="S20" i="4"/>
  <c r="V20" i="4" s="1"/>
  <c r="W19" i="4"/>
  <c r="U19" i="4"/>
  <c r="T19" i="4"/>
  <c r="V18" i="4"/>
  <c r="V17" i="4"/>
  <c r="V16" i="4"/>
  <c r="V15" i="4"/>
  <c r="V14" i="4"/>
  <c r="S13" i="4"/>
  <c r="R13" i="4"/>
  <c r="W12" i="4"/>
  <c r="U12" i="4"/>
  <c r="T12" i="4"/>
  <c r="T11" i="4" s="1"/>
  <c r="U11" i="4"/>
  <c r="W225" i="3"/>
  <c r="U225" i="3"/>
  <c r="W224" i="3"/>
  <c r="U224" i="3"/>
  <c r="W223" i="3"/>
  <c r="U223" i="3"/>
  <c r="W222" i="3"/>
  <c r="U222" i="3"/>
  <c r="W221" i="3"/>
  <c r="W220" i="3" s="1"/>
  <c r="W219" i="3" s="1"/>
  <c r="U221" i="3"/>
  <c r="U220" i="3" s="1"/>
  <c r="V219" i="3"/>
  <c r="T219" i="3"/>
  <c r="W218" i="3"/>
  <c r="U218" i="3"/>
  <c r="W217" i="3"/>
  <c r="U217" i="3"/>
  <c r="W216" i="3"/>
  <c r="U216" i="3"/>
  <c r="W215" i="3"/>
  <c r="U215" i="3"/>
  <c r="W214" i="3"/>
  <c r="U214" i="3"/>
  <c r="W213" i="3"/>
  <c r="U213" i="3"/>
  <c r="W212" i="3"/>
  <c r="W211" i="3" s="1"/>
  <c r="U212" i="3"/>
  <c r="U211" i="3" s="1"/>
  <c r="U210" i="3"/>
  <c r="U209" i="3"/>
  <c r="U207" i="3" s="1"/>
  <c r="U208" i="3"/>
  <c r="W207" i="3"/>
  <c r="W206" i="3"/>
  <c r="U206" i="3"/>
  <c r="W205" i="3"/>
  <c r="U205" i="3"/>
  <c r="W204" i="3"/>
  <c r="W202" i="3" s="1"/>
  <c r="U204" i="3"/>
  <c r="W203" i="3"/>
  <c r="U203" i="3"/>
  <c r="U202" i="3" s="1"/>
  <c r="V201" i="3"/>
  <c r="U201" i="3"/>
  <c r="T201" i="3"/>
  <c r="V200" i="3"/>
  <c r="T200" i="3"/>
  <c r="V199" i="3"/>
  <c r="T199" i="3"/>
  <c r="V198" i="3"/>
  <c r="T198" i="3"/>
  <c r="V197" i="3"/>
  <c r="T197" i="3"/>
  <c r="V196" i="3"/>
  <c r="T196" i="3"/>
  <c r="V195" i="3"/>
  <c r="T195" i="3"/>
  <c r="V194" i="3"/>
  <c r="T194" i="3"/>
  <c r="T190" i="3" s="1"/>
  <c r="V193" i="3"/>
  <c r="V190" i="3" s="1"/>
  <c r="T193" i="3"/>
  <c r="V192" i="3"/>
  <c r="T192" i="3"/>
  <c r="V191" i="3"/>
  <c r="T191" i="3"/>
  <c r="W190" i="3"/>
  <c r="U190" i="3"/>
  <c r="V189" i="3"/>
  <c r="V188" i="3"/>
  <c r="V187" i="3"/>
  <c r="V186" i="3"/>
  <c r="V185" i="3"/>
  <c r="V184" i="3"/>
  <c r="V183" i="3" s="1"/>
  <c r="W183" i="3"/>
  <c r="U183" i="3"/>
  <c r="T183" i="3"/>
  <c r="V182" i="3"/>
  <c r="U182" i="3"/>
  <c r="T182" i="3"/>
  <c r="W181" i="3"/>
  <c r="V181" i="3"/>
  <c r="V176" i="3" s="1"/>
  <c r="U181" i="3"/>
  <c r="T181" i="3"/>
  <c r="V180" i="3"/>
  <c r="U180" i="3"/>
  <c r="T180" i="3"/>
  <c r="V179" i="3"/>
  <c r="U179" i="3"/>
  <c r="T179" i="3"/>
  <c r="V178" i="3"/>
  <c r="U178" i="3"/>
  <c r="T178" i="3"/>
  <c r="V177" i="3"/>
  <c r="U177" i="3"/>
  <c r="T177" i="3"/>
  <c r="V175" i="3"/>
  <c r="U175" i="3"/>
  <c r="T175" i="3"/>
  <c r="W174" i="3"/>
  <c r="V174" i="3"/>
  <c r="U174" i="3"/>
  <c r="T174" i="3"/>
  <c r="V173" i="3"/>
  <c r="U173" i="3"/>
  <c r="T173" i="3"/>
  <c r="V172" i="3"/>
  <c r="U172" i="3"/>
  <c r="T172" i="3"/>
  <c r="V171" i="3"/>
  <c r="U171" i="3"/>
  <c r="T171" i="3"/>
  <c r="V170" i="3"/>
  <c r="V169" i="3" s="1"/>
  <c r="U170" i="3"/>
  <c r="T170" i="3"/>
  <c r="T169" i="3" s="1"/>
  <c r="W169" i="3"/>
  <c r="V168" i="3"/>
  <c r="T168" i="3"/>
  <c r="T162" i="3" s="1"/>
  <c r="W167" i="3"/>
  <c r="V167" i="3"/>
  <c r="T167" i="3"/>
  <c r="V166" i="3"/>
  <c r="T166" i="3"/>
  <c r="V165" i="3"/>
  <c r="T165" i="3"/>
  <c r="V164" i="3"/>
  <c r="V162" i="3" s="1"/>
  <c r="T164" i="3"/>
  <c r="V163" i="3"/>
  <c r="T163" i="3"/>
  <c r="W162" i="3"/>
  <c r="U162" i="3"/>
  <c r="V161" i="3"/>
  <c r="V159" i="3" s="1"/>
  <c r="T161" i="3"/>
  <c r="V160" i="3"/>
  <c r="T160" i="3"/>
  <c r="W159" i="3"/>
  <c r="U159" i="3"/>
  <c r="T159" i="3"/>
  <c r="T158" i="3" s="1"/>
  <c r="W158" i="3"/>
  <c r="U156" i="3"/>
  <c r="U151" i="3" s="1"/>
  <c r="T155" i="3"/>
  <c r="T154" i="3"/>
  <c r="T153" i="3"/>
  <c r="T152" i="3"/>
  <c r="T151" i="3" s="1"/>
  <c r="W151" i="3"/>
  <c r="V151" i="3"/>
  <c r="V150" i="3"/>
  <c r="T150" i="3"/>
  <c r="W149" i="3"/>
  <c r="W144" i="3" s="1"/>
  <c r="V149" i="3"/>
  <c r="T149" i="3"/>
  <c r="V148" i="3"/>
  <c r="T148" i="3"/>
  <c r="V147" i="3"/>
  <c r="T147" i="3"/>
  <c r="V146" i="3"/>
  <c r="T146" i="3"/>
  <c r="T144" i="3" s="1"/>
  <c r="V145" i="3"/>
  <c r="V144" i="3" s="1"/>
  <c r="T145" i="3"/>
  <c r="U144" i="3"/>
  <c r="W142" i="3"/>
  <c r="V141" i="3"/>
  <c r="T141" i="3"/>
  <c r="V140" i="3"/>
  <c r="T140" i="3"/>
  <c r="V139" i="3"/>
  <c r="T139" i="3"/>
  <c r="V138" i="3"/>
  <c r="T138" i="3"/>
  <c r="W137" i="3"/>
  <c r="V137" i="3"/>
  <c r="V136" i="3" s="1"/>
  <c r="U137" i="3"/>
  <c r="W135" i="3"/>
  <c r="U135" i="3"/>
  <c r="W134" i="3"/>
  <c r="U134" i="3"/>
  <c r="W133" i="3"/>
  <c r="U133" i="3"/>
  <c r="W132" i="3"/>
  <c r="U132" i="3"/>
  <c r="W131" i="3"/>
  <c r="U131" i="3"/>
  <c r="U129" i="3" s="1"/>
  <c r="W130" i="3"/>
  <c r="W129" i="3" s="1"/>
  <c r="U130" i="3"/>
  <c r="V129" i="3"/>
  <c r="T129" i="3"/>
  <c r="V128" i="3"/>
  <c r="T128" i="3"/>
  <c r="V127" i="3"/>
  <c r="T127" i="3"/>
  <c r="V126" i="3"/>
  <c r="T126" i="3"/>
  <c r="V125" i="3"/>
  <c r="T125" i="3"/>
  <c r="V124" i="3"/>
  <c r="V122" i="3" s="1"/>
  <c r="T124" i="3"/>
  <c r="T122" i="3" s="1"/>
  <c r="V123" i="3"/>
  <c r="U123" i="3"/>
  <c r="U122" i="3" s="1"/>
  <c r="U114" i="3" s="1"/>
  <c r="T123" i="3"/>
  <c r="W122" i="3"/>
  <c r="V121" i="3"/>
  <c r="T121" i="3"/>
  <c r="V120" i="3"/>
  <c r="T120" i="3"/>
  <c r="V119" i="3"/>
  <c r="T119" i="3"/>
  <c r="V118" i="3"/>
  <c r="T118" i="3"/>
  <c r="V117" i="3"/>
  <c r="V115" i="3" s="1"/>
  <c r="V114" i="3" s="1"/>
  <c r="T117" i="3"/>
  <c r="V116" i="3"/>
  <c r="T116" i="3"/>
  <c r="W115" i="3"/>
  <c r="U115" i="3"/>
  <c r="T115" i="3"/>
  <c r="W114" i="3"/>
  <c r="V113" i="3"/>
  <c r="T113" i="3"/>
  <c r="V112" i="3"/>
  <c r="T112" i="3"/>
  <c r="V111" i="3"/>
  <c r="T111" i="3"/>
  <c r="V110" i="3"/>
  <c r="T110" i="3"/>
  <c r="V109" i="3"/>
  <c r="T109" i="3"/>
  <c r="V108" i="3"/>
  <c r="T108" i="3"/>
  <c r="T107" i="3" s="1"/>
  <c r="W107" i="3"/>
  <c r="U107" i="3"/>
  <c r="V106" i="3"/>
  <c r="T106" i="3"/>
  <c r="V105" i="3"/>
  <c r="T105" i="3"/>
  <c r="V104" i="3"/>
  <c r="T104" i="3"/>
  <c r="V103" i="3"/>
  <c r="T103" i="3"/>
  <c r="V102" i="3"/>
  <c r="T102" i="3"/>
  <c r="V101" i="3"/>
  <c r="T101" i="3"/>
  <c r="T100" i="3" s="1"/>
  <c r="W100" i="3"/>
  <c r="U100" i="3"/>
  <c r="V99" i="3"/>
  <c r="T99" i="3"/>
  <c r="V98" i="3"/>
  <c r="T98" i="3"/>
  <c r="V97" i="3"/>
  <c r="T97" i="3"/>
  <c r="V96" i="3"/>
  <c r="T96" i="3"/>
  <c r="V95" i="3"/>
  <c r="V93" i="3" s="1"/>
  <c r="T95" i="3"/>
  <c r="V94" i="3"/>
  <c r="T94" i="3"/>
  <c r="T93" i="3" s="1"/>
  <c r="W93" i="3"/>
  <c r="U93" i="3"/>
  <c r="U92" i="3" s="1"/>
  <c r="V91" i="3"/>
  <c r="T91" i="3"/>
  <c r="N91" i="3"/>
  <c r="W90" i="3"/>
  <c r="V90" i="3"/>
  <c r="T90" i="3"/>
  <c r="V89" i="3"/>
  <c r="M89" i="3"/>
  <c r="T89" i="3" s="1"/>
  <c r="V88" i="3"/>
  <c r="T88" i="3"/>
  <c r="V87" i="3"/>
  <c r="T87" i="3"/>
  <c r="V86" i="3"/>
  <c r="M86" i="3"/>
  <c r="T86" i="3" s="1"/>
  <c r="W85" i="3"/>
  <c r="U85" i="3"/>
  <c r="T84" i="3"/>
  <c r="W83" i="3"/>
  <c r="T83" i="3"/>
  <c r="V82" i="3"/>
  <c r="T82" i="3"/>
  <c r="V81" i="3"/>
  <c r="T81" i="3"/>
  <c r="V80" i="3"/>
  <c r="T80" i="3"/>
  <c r="T78" i="3" s="1"/>
  <c r="V79" i="3"/>
  <c r="T79" i="3"/>
  <c r="W78" i="3"/>
  <c r="V78" i="3"/>
  <c r="U78" i="3"/>
  <c r="U77" i="3"/>
  <c r="V76" i="3"/>
  <c r="T76" i="3"/>
  <c r="T70" i="3" s="1"/>
  <c r="W75" i="3"/>
  <c r="V75" i="3"/>
  <c r="T75" i="3"/>
  <c r="V74" i="3"/>
  <c r="T74" i="3"/>
  <c r="V73" i="3"/>
  <c r="T73" i="3"/>
  <c r="V72" i="3"/>
  <c r="V70" i="3" s="1"/>
  <c r="T72" i="3"/>
  <c r="V71" i="3"/>
  <c r="T71" i="3"/>
  <c r="W70" i="3"/>
  <c r="U70" i="3"/>
  <c r="V69" i="3"/>
  <c r="T69" i="3"/>
  <c r="W68" i="3"/>
  <c r="V68" i="3"/>
  <c r="T68" i="3"/>
  <c r="V67" i="3"/>
  <c r="T67" i="3"/>
  <c r="V66" i="3"/>
  <c r="T66" i="3"/>
  <c r="T63" i="3" s="1"/>
  <c r="V65" i="3"/>
  <c r="T65" i="3"/>
  <c r="V64" i="3"/>
  <c r="T64" i="3"/>
  <c r="W63" i="3"/>
  <c r="U63" i="3"/>
  <c r="V62" i="3"/>
  <c r="T62" i="3"/>
  <c r="V61" i="3"/>
  <c r="T61" i="3"/>
  <c r="V60" i="3"/>
  <c r="T60" i="3"/>
  <c r="V59" i="3"/>
  <c r="T59" i="3"/>
  <c r="V58" i="3"/>
  <c r="T58" i="3"/>
  <c r="V57" i="3"/>
  <c r="V56" i="3" s="1"/>
  <c r="T57" i="3"/>
  <c r="W56" i="3"/>
  <c r="W48" i="3" s="1"/>
  <c r="U56" i="3"/>
  <c r="T56" i="3"/>
  <c r="V55" i="3"/>
  <c r="T55" i="3"/>
  <c r="V54" i="3"/>
  <c r="T54" i="3"/>
  <c r="V53" i="3"/>
  <c r="T53" i="3"/>
  <c r="V52" i="3"/>
  <c r="T52" i="3"/>
  <c r="V51" i="3"/>
  <c r="T51" i="3"/>
  <c r="V50" i="3"/>
  <c r="V49" i="3" s="1"/>
  <c r="T50" i="3"/>
  <c r="W49" i="3"/>
  <c r="U49" i="3"/>
  <c r="T49" i="3"/>
  <c r="V47" i="3"/>
  <c r="T47" i="3"/>
  <c r="W46" i="3"/>
  <c r="W41" i="3" s="1"/>
  <c r="W40" i="3" s="1"/>
  <c r="V46" i="3"/>
  <c r="T46" i="3"/>
  <c r="V45" i="3"/>
  <c r="T45" i="3"/>
  <c r="V44" i="3"/>
  <c r="T44" i="3"/>
  <c r="V43" i="3"/>
  <c r="T43" i="3"/>
  <c r="T41" i="3" s="1"/>
  <c r="T40" i="3" s="1"/>
  <c r="V42" i="3"/>
  <c r="V41" i="3" s="1"/>
  <c r="T42" i="3"/>
  <c r="U41" i="3"/>
  <c r="V40" i="3"/>
  <c r="U40" i="3"/>
  <c r="V39" i="3"/>
  <c r="V38" i="3"/>
  <c r="W37" i="3"/>
  <c r="V37" i="3"/>
  <c r="W36" i="3"/>
  <c r="W35" i="3"/>
  <c r="V35" i="3"/>
  <c r="V33" i="3" s="1"/>
  <c r="W34" i="3"/>
  <c r="W33" i="3" s="1"/>
  <c r="V34" i="3"/>
  <c r="U33" i="3"/>
  <c r="T33" i="3"/>
  <c r="V32" i="3"/>
  <c r="V31" i="3"/>
  <c r="V30" i="3"/>
  <c r="V29" i="3"/>
  <c r="H29" i="3"/>
  <c r="V28" i="3"/>
  <c r="V27" i="3"/>
  <c r="W26" i="3"/>
  <c r="V26" i="3"/>
  <c r="U26" i="3"/>
  <c r="U11" i="3" s="1"/>
  <c r="T26" i="3"/>
  <c r="V25" i="3"/>
  <c r="V24" i="3"/>
  <c r="V23" i="3"/>
  <c r="V22" i="3"/>
  <c r="V21" i="3"/>
  <c r="V20" i="3"/>
  <c r="V19" i="3" s="1"/>
  <c r="W19" i="3"/>
  <c r="U19" i="3"/>
  <c r="T19" i="3"/>
  <c r="V18" i="3"/>
  <c r="V17" i="3"/>
  <c r="V16" i="3"/>
  <c r="V15" i="3"/>
  <c r="V14" i="3"/>
  <c r="V13" i="3"/>
  <c r="W12" i="3"/>
  <c r="U12" i="3"/>
  <c r="T12" i="3"/>
  <c r="T11" i="3" s="1"/>
  <c r="B7" i="2"/>
  <c r="I7" i="2"/>
  <c r="I6" i="2"/>
  <c r="I5" i="2"/>
  <c r="U158" i="4" l="1"/>
  <c r="W208" i="4"/>
  <c r="V41" i="4"/>
  <c r="V40" i="4" s="1"/>
  <c r="T63" i="4"/>
  <c r="W77" i="4"/>
  <c r="T93" i="4"/>
  <c r="T92" i="4" s="1"/>
  <c r="T137" i="4"/>
  <c r="T136" i="4" s="1"/>
  <c r="W158" i="4"/>
  <c r="V13" i="4"/>
  <c r="V12" i="4" s="1"/>
  <c r="T56" i="4"/>
  <c r="U77" i="4"/>
  <c r="U10" i="4" s="1"/>
  <c r="C4" i="5" s="1"/>
  <c r="T107" i="4"/>
  <c r="V183" i="4"/>
  <c r="V197" i="4"/>
  <c r="V56" i="4"/>
  <c r="V48" i="4" s="1"/>
  <c r="T115" i="4"/>
  <c r="T122" i="4"/>
  <c r="T151" i="4"/>
  <c r="T176" i="4"/>
  <c r="V19" i="4"/>
  <c r="T49" i="4"/>
  <c r="U136" i="4"/>
  <c r="V176" i="4"/>
  <c r="V158" i="4" s="1"/>
  <c r="V63" i="4"/>
  <c r="V26" i="4"/>
  <c r="V49" i="4"/>
  <c r="V85" i="4"/>
  <c r="V107" i="4"/>
  <c r="W136" i="4"/>
  <c r="T144" i="4"/>
  <c r="V77" i="4"/>
  <c r="V114" i="4"/>
  <c r="T41" i="4"/>
  <c r="T40" i="4" s="1"/>
  <c r="V93" i="4"/>
  <c r="V92" i="4" s="1"/>
  <c r="T169" i="4"/>
  <c r="T85" i="4"/>
  <c r="U114" i="4"/>
  <c r="T48" i="7"/>
  <c r="W11" i="3"/>
  <c r="V63" i="3"/>
  <c r="V158" i="3"/>
  <c r="V144" i="4"/>
  <c r="V136" i="4" s="1"/>
  <c r="T190" i="4"/>
  <c r="T158" i="4" s="1"/>
  <c r="U10" i="7"/>
  <c r="U201" i="7"/>
  <c r="C4" i="2"/>
  <c r="V12" i="3"/>
  <c r="V11" i="3" s="1"/>
  <c r="V48" i="3"/>
  <c r="T78" i="4"/>
  <c r="V120" i="6"/>
  <c r="U142" i="6"/>
  <c r="V164" i="6"/>
  <c r="W136" i="3"/>
  <c r="U169" i="3"/>
  <c r="U158" i="3" s="1"/>
  <c r="W191" i="6"/>
  <c r="V48" i="7"/>
  <c r="W92" i="3"/>
  <c r="V107" i="3"/>
  <c r="W11" i="4"/>
  <c r="W98" i="6"/>
  <c r="W10" i="6" s="1"/>
  <c r="V113" i="6"/>
  <c r="V98" i="6" s="1"/>
  <c r="W142" i="6"/>
  <c r="T164" i="6"/>
  <c r="U191" i="6"/>
  <c r="T93" i="7"/>
  <c r="T92" i="7" s="1"/>
  <c r="T85" i="3"/>
  <c r="T77" i="3" s="1"/>
  <c r="T92" i="3"/>
  <c r="U136" i="3"/>
  <c r="W201" i="3"/>
  <c r="V11" i="4"/>
  <c r="V70" i="4"/>
  <c r="U208" i="4"/>
  <c r="T98" i="6"/>
  <c r="I8" i="2"/>
  <c r="I9" i="2"/>
  <c r="B4" i="2"/>
  <c r="E4" i="2"/>
  <c r="T48" i="3"/>
  <c r="T10" i="3" s="1"/>
  <c r="V85" i="3"/>
  <c r="V77" i="3" s="1"/>
  <c r="V100" i="3"/>
  <c r="V92" i="3" s="1"/>
  <c r="T114" i="3"/>
  <c r="T137" i="3"/>
  <c r="T136" i="3" s="1"/>
  <c r="U219" i="3"/>
  <c r="W129" i="4"/>
  <c r="W114" i="4" s="1"/>
  <c r="T84" i="6"/>
  <c r="T55" i="6" s="1"/>
  <c r="V106" i="6"/>
  <c r="T120" i="6"/>
  <c r="V11" i="7"/>
  <c r="D4" i="2"/>
  <c r="U48" i="3"/>
  <c r="U10" i="3" s="1"/>
  <c r="W77" i="3"/>
  <c r="I10" i="5"/>
  <c r="J5" i="5"/>
  <c r="J8" i="5"/>
  <c r="J6" i="5"/>
  <c r="J7" i="5"/>
  <c r="T27" i="6"/>
  <c r="T19" i="6" s="1"/>
  <c r="T10" i="6" s="1"/>
  <c r="V56" i="6"/>
  <c r="V55" i="6" s="1"/>
  <c r="V10" i="6" s="1"/>
  <c r="U120" i="6"/>
  <c r="U10" i="6" s="1"/>
  <c r="T115" i="7"/>
  <c r="T114" i="7" s="1"/>
  <c r="W136" i="7"/>
  <c r="W10" i="7" s="1"/>
  <c r="T162" i="7"/>
  <c r="T158" i="7" s="1"/>
  <c r="J17" i="5"/>
  <c r="J4" i="5"/>
  <c r="J18" i="5"/>
  <c r="J19" i="5"/>
  <c r="I4" i="2"/>
  <c r="J20" i="5"/>
  <c r="T48" i="4" l="1"/>
  <c r="T77" i="4"/>
  <c r="T10" i="4" s="1"/>
  <c r="B4" i="5" s="1"/>
  <c r="T114" i="4"/>
  <c r="B5" i="2"/>
  <c r="B6" i="2" s="1"/>
  <c r="B8" i="2" s="1"/>
  <c r="T10" i="7"/>
  <c r="V10" i="3"/>
  <c r="I10" i="2"/>
  <c r="J4" i="2" s="1"/>
  <c r="C12" i="2"/>
  <c r="E12" i="2" s="1"/>
  <c r="V10" i="7"/>
  <c r="V10" i="4"/>
  <c r="D4" i="5" s="1"/>
  <c r="W10" i="4"/>
  <c r="E4" i="5" s="1"/>
  <c r="W10" i="3"/>
  <c r="I11" i="2" l="1"/>
  <c r="J7" i="2"/>
  <c r="J6" i="2"/>
  <c r="J5" i="2"/>
  <c r="B5" i="5"/>
  <c r="B6" i="5" s="1"/>
  <c r="B8" i="5" s="1"/>
  <c r="J9" i="2"/>
  <c r="X10" i="7"/>
  <c r="J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4" authorId="0" shapeId="0" xr:uid="{00000000-0006-0000-0100-000001000000}">
      <text>
        <r>
          <rPr>
            <sz val="10"/>
            <color rgb="FF000000"/>
            <rFont val="Arial"/>
            <scheme val="minor"/>
          </rPr>
          <t>All planned so far, this is why the share is higher
	-Miglena Koycheva Slavova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2000000}">
      <text>
        <r>
          <rPr>
            <sz val="10"/>
            <color rgb="FF000000"/>
            <rFont val="Arial"/>
            <scheme val="minor"/>
          </rPr>
          <t>app campaign X-mass
	-Miglena Koycheva Slavova
----
move to DM only BF campaign
	-Miglena Koycheva Slavova
----
YT reviews
	-Miglena Koycheva Slavova
----
2024 X-mass device stream
	-Miglena Koycheva Slavova
----
Manchester city posts
	-Miglena Koycheva Slavova
----
Only World in Sept
	-Miglena Koycheva Slavova
----
OTR in google ads
	-Miglena Koycheva Slavova
----
tips and tricks
	-Miglena Koycheva Slavova
----
1605 for YT reviews
	-Miglena Koycheva Slavova
----
tips and tricks
	-Miglena Koycheva Slavova
----
tips and tricks
	-Miglena Koycheva Slavova
----
YT reviews sponsoring
	-Miglena Koycheva Slavova
----
YT sponsoring of YT reviews
	-Miglena Koycheva Slavova
----
YT sponsoring of YT reviews
	-Miglena Koycheva Slavova
----
YT sponsoring of YT reviews
	-Miglena Koycheva Slavova
----
incl 1994 YT reviews
	-Miglena Koycheva Slavova
----
YT reviews
	-Miglena Koycheva Slavova
----
YT reviews
	-Miglena Koycheva Slavova
----
YT reviews
	-Miglena Koycheva Slavova
----
YouTube reviews
	-Miglena Koycheva Slavova
----
YouTube reviews
	-Miglena Koycheva Slavova
----
YT reviews
	-Miglena Koycheva Slavova
----
vendor rubric incl. From June, vendor rubric is separate, here on row 192
	-Miglena Koycheva Slavova</t>
        </r>
      </text>
    </comment>
    <comment ref="R79" authorId="0" shapeId="0" xr:uid="{00000000-0006-0000-0300-000001000000}">
      <text>
        <r>
          <rPr>
            <sz val="10"/>
            <color rgb="FF000000"/>
            <rFont val="Arial"/>
            <scheme val="minor"/>
          </rPr>
          <t>10 788 Apple
22 556 Black Friday
	-Desislava Kalinova Petrova</t>
        </r>
      </text>
    </comment>
  </commentList>
</comments>
</file>

<file path=xl/sharedStrings.xml><?xml version="1.0" encoding="utf-8"?>
<sst xmlns="http://schemas.openxmlformats.org/spreadsheetml/2006/main" count="1179" uniqueCount="189">
  <si>
    <t>YETTEL BG FLOWPLAN - 1.208k EUR</t>
  </si>
  <si>
    <t>CAMPAIGN WITH ATL SUPPORT + DIGITAL</t>
  </si>
  <si>
    <t>* in pink, the campaigns are always-on, digital</t>
  </si>
  <si>
    <t>CAMPAIGNS WITH DIGITAL SUPPORT ONLY</t>
  </si>
  <si>
    <t>YTD actual</t>
  </si>
  <si>
    <t>CAMPAIGN</t>
  </si>
  <si>
    <t>START DATE</t>
  </si>
  <si>
    <t>END DATE</t>
  </si>
  <si>
    <t>Media</t>
  </si>
  <si>
    <t>Q1</t>
  </si>
  <si>
    <t>Q2</t>
  </si>
  <si>
    <t>Q3</t>
  </si>
  <si>
    <t>Q4</t>
  </si>
  <si>
    <t>Actual</t>
  </si>
  <si>
    <t>Forecast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</si>
  <si>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</si>
  <si>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</si>
  <si>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</si>
  <si>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</si>
  <si>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</si>
  <si>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</si>
  <si>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</si>
  <si>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</si>
  <si>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</si>
  <si>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</si>
  <si>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</si>
  <si>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</si>
  <si>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MarCom</t>
  </si>
  <si>
    <t>DM</t>
  </si>
  <si>
    <t>Brand campaigns</t>
  </si>
  <si>
    <t>Yettel Brand Generic</t>
  </si>
  <si>
    <t>Your Partner in Tech</t>
  </si>
  <si>
    <t>Local Publishers</t>
  </si>
  <si>
    <t>DV360</t>
  </si>
  <si>
    <t>Social Media</t>
  </si>
  <si>
    <t>PMax, Demand gen</t>
  </si>
  <si>
    <t>Search text as</t>
  </si>
  <si>
    <t>Other</t>
  </si>
  <si>
    <t>Simplicity &amp; Beyond YA / Extra value</t>
  </si>
  <si>
    <t>Roaming Balkan &amp; Turkey + Other Countries</t>
  </si>
  <si>
    <t xml:space="preserve">Active living </t>
  </si>
  <si>
    <t>So much more than Telco (Roaming)</t>
  </si>
  <si>
    <t>So much more than Telco (Family proposition)</t>
  </si>
  <si>
    <t xml:space="preserve">Christmas image </t>
  </si>
  <si>
    <t>Smartphone Universe</t>
  </si>
  <si>
    <t>3.1.1</t>
  </si>
  <si>
    <t>Best care for your device (Back to School)</t>
  </si>
  <si>
    <t>3.1.2</t>
  </si>
  <si>
    <t>Best care for your device (Black Friday)</t>
  </si>
  <si>
    <t>3.2 (7.10; 7.11)</t>
  </si>
  <si>
    <t>Device benefits AO</t>
  </si>
  <si>
    <t>Smartphone Universe Q1</t>
  </si>
  <si>
    <t xml:space="preserve">Vendors monthly offers </t>
  </si>
  <si>
    <t xml:space="preserve">Christmas Vendor monthly offer </t>
  </si>
  <si>
    <t>Best Network</t>
  </si>
  <si>
    <t>Top 10 ranked as a Best Network in Europe (+A1 &amp; Vivacom boost)</t>
  </si>
  <si>
    <t>Top 10 ranked as a Best Network in Europe Burst 2</t>
  </si>
  <si>
    <t>15 Sept 25</t>
  </si>
  <si>
    <t>Best network always-on</t>
  </si>
  <si>
    <t>Eskimi ad hoc Vivacom</t>
  </si>
  <si>
    <t>TV &amp; FWA</t>
  </si>
  <si>
    <t>Yettel TV &amp; SkyShowtime</t>
  </si>
  <si>
    <t>Yettel TV and Home internet</t>
  </si>
  <si>
    <t>Yettel  TV always-on</t>
  </si>
  <si>
    <t>30 Au 25</t>
  </si>
  <si>
    <t>100 Touristic locations</t>
  </si>
  <si>
    <t>Explore Bulgaria; 100 Tourist objects are in Yettel app</t>
  </si>
  <si>
    <t>Gamification - incentivize registrations passport</t>
  </si>
  <si>
    <t>6.3 -&gt;6.2</t>
  </si>
  <si>
    <t>100 TO AO</t>
  </si>
  <si>
    <t>Smaller, specific brand campaigns</t>
  </si>
  <si>
    <t>Vignettes</t>
  </si>
  <si>
    <t>Employer Branding</t>
  </si>
  <si>
    <t>TBD</t>
  </si>
  <si>
    <t>Employer branding job announcement</t>
  </si>
  <si>
    <t>Employer branding tech people</t>
  </si>
  <si>
    <t>Hub by Yettel - attract candidates for internships</t>
  </si>
  <si>
    <t>30 Sept 25</t>
  </si>
  <si>
    <t>Smart tourist -  Travel insurance via Yettel App</t>
  </si>
  <si>
    <t>Storytel campaign - digital add on</t>
  </si>
  <si>
    <t>Monthly catalogue boost</t>
  </si>
  <si>
    <t>TDB</t>
  </si>
  <si>
    <t>B2B offer campaign TBC</t>
  </si>
  <si>
    <t>7.10-&gt;3.2 (Device benefits AO)</t>
  </si>
  <si>
    <t>Product or services video reviews by influencers in YouTube (2x month)</t>
  </si>
  <si>
    <t>PMax, Demand Gen, YT</t>
  </si>
  <si>
    <t>7.11-&gt;3.2 (Device benefits AO)</t>
  </si>
  <si>
    <t>Recycle &amp; Save monthly offers - bring your old device and get a discount for new one</t>
  </si>
  <si>
    <t>7.12-&gt;2 (Simplicuty &amp; Beyind)</t>
  </si>
  <si>
    <t>Roaming around the world</t>
  </si>
  <si>
    <t>Eskimi</t>
  </si>
  <si>
    <t>n/a</t>
  </si>
  <si>
    <t>SoMe</t>
  </si>
  <si>
    <t>BTL Recylcator</t>
  </si>
  <si>
    <t>Posts boost</t>
  </si>
  <si>
    <t>E-shop campaigns</t>
  </si>
  <si>
    <t>Monthly e-shop sales offers</t>
  </si>
  <si>
    <t>RTBHouse</t>
  </si>
  <si>
    <t>Small vendors</t>
  </si>
  <si>
    <t>Pre-orders</t>
  </si>
  <si>
    <t>New search sales AO</t>
  </si>
  <si>
    <t>Search ads - DSA, brand-based search, brand protect search etc</t>
  </si>
  <si>
    <t>One touch retention for RET eligible Yettel Mobile service customers</t>
  </si>
  <si>
    <t>Abandonned cart remarketing Meta and Google Ads</t>
  </si>
  <si>
    <t>App campaigns</t>
  </si>
  <si>
    <t>BTL activations : Store activation</t>
  </si>
  <si>
    <t>9.4 = 2.4</t>
  </si>
  <si>
    <t xml:space="preserve">Christmas campaign </t>
  </si>
  <si>
    <t>New app AO campaigns</t>
  </si>
  <si>
    <t>9.6-&gt;9.5</t>
  </si>
  <si>
    <t>Yettel Friday-&gt; Yettel Moments from May'25</t>
  </si>
  <si>
    <t>9.7-&gt;9.5</t>
  </si>
  <si>
    <t>Tuesday deal</t>
  </si>
  <si>
    <t>9.8=6.2</t>
  </si>
  <si>
    <t>100 Touristic locations - Gamification - incentivize registration for the digital passport in Yettel App</t>
  </si>
  <si>
    <t>9.9-&gt;9.5</t>
  </si>
  <si>
    <t>Digital Add-ons boost</t>
  </si>
  <si>
    <t>9.1-&gt;8.6</t>
  </si>
  <si>
    <t>Search campaign for App installs, 100 TO and other app services like roaming</t>
  </si>
  <si>
    <t>Split by cost center</t>
  </si>
  <si>
    <t>COMMENT</t>
  </si>
  <si>
    <t>YTD spend by channel</t>
  </si>
  <si>
    <t>Marcom Actual</t>
  </si>
  <si>
    <t>DM Actual</t>
  </si>
  <si>
    <t>MarCom YTG</t>
  </si>
  <si>
    <t>DM YTG</t>
  </si>
  <si>
    <t>Channel</t>
  </si>
  <si>
    <t>Spend</t>
  </si>
  <si>
    <t>Share</t>
  </si>
  <si>
    <t>TOTAL 2025 EUR</t>
  </si>
  <si>
    <t>TOTAL 2025 BGN</t>
  </si>
  <si>
    <t>TOTAL 2025 LTP BGN</t>
  </si>
  <si>
    <t>LEFT TO PLAN</t>
  </si>
  <si>
    <t>we wait PHD to add the rest of the Local publihsers campaigns part</t>
  </si>
  <si>
    <t>Search Text</t>
  </si>
  <si>
    <t>Other (Eskimi, RTB...)</t>
  </si>
  <si>
    <t>TOTAL SPEND YTD EUR</t>
  </si>
  <si>
    <t>Local publishers deals vs spend</t>
  </si>
  <si>
    <t>TOTAL SPEND YTD BGN</t>
  </si>
  <si>
    <t>YTD planned/spent</t>
  </si>
  <si>
    <t>Deals left to cover</t>
  </si>
  <si>
    <t>Yettel Chistmas</t>
  </si>
  <si>
    <t>Christmas TV TBD</t>
  </si>
  <si>
    <t>Christmas vendor offer</t>
  </si>
  <si>
    <t>Christmas App advent calendar TBD</t>
  </si>
  <si>
    <t>Monthly Vendors (B2S, BF, incl)</t>
  </si>
  <si>
    <t>Device benefits AO (incl YT reviews)</t>
  </si>
  <si>
    <t>move LP to B2B</t>
  </si>
  <si>
    <t>moved to e-shop search AO</t>
  </si>
  <si>
    <t>Employer branding job announcement (Meta only job offers)</t>
  </si>
  <si>
    <t>20 Sept 2025</t>
  </si>
  <si>
    <t xml:space="preserve">Other </t>
  </si>
  <si>
    <t>BTL Recyclator</t>
  </si>
  <si>
    <t>Smartphone Universe - vendor rubric</t>
  </si>
  <si>
    <t>HR podcast support</t>
  </si>
  <si>
    <t>SoMe activations - games</t>
  </si>
  <si>
    <t>Smart parenting</t>
  </si>
  <si>
    <t>BTL Active Living</t>
  </si>
  <si>
    <t>App support (awards Hub; Moments, Suprises with Yettel)</t>
  </si>
  <si>
    <t>Tips and Tricks</t>
  </si>
  <si>
    <t>moved to Device benefits AO</t>
  </si>
  <si>
    <t>Small vendors - merged into e-shop after April</t>
  </si>
  <si>
    <t>New search sales AO + e-shop pmax and dem gen</t>
  </si>
  <si>
    <t>Search text as, Demand Gen, Pmax</t>
  </si>
  <si>
    <t>9.3-&gt;9.2</t>
  </si>
  <si>
    <t>9.4-&gt;9.2</t>
  </si>
  <si>
    <t>YETTEL BG FLOWPLAN</t>
  </si>
  <si>
    <t>~</t>
  </si>
  <si>
    <t>PMax, Demand gen, YT</t>
  </si>
  <si>
    <t>YT</t>
  </si>
  <si>
    <t>10 Sept 25</t>
  </si>
  <si>
    <t>Other - LinkedIn</t>
  </si>
  <si>
    <t>24 Sept 2025</t>
  </si>
  <si>
    <t xml:space="preserve">Yettel App Campaign </t>
  </si>
  <si>
    <t>Smart parenting - Digital Scouts</t>
  </si>
  <si>
    <t>PMax</t>
  </si>
  <si>
    <t>PMax, Demand Gen</t>
  </si>
  <si>
    <t>Split by channel YTD Oct</t>
  </si>
  <si>
    <t>difference</t>
  </si>
  <si>
    <t>Monthly spend by channel Brand campaigns OCT</t>
  </si>
  <si>
    <t>TOTAL SPEND MAY EUR</t>
  </si>
  <si>
    <t>TOTAL SPEND MAY BGN</t>
  </si>
  <si>
    <t>Christmas App advent calendar</t>
  </si>
  <si>
    <t>MarCom 2025 LTP budget</t>
  </si>
  <si>
    <t>MarCom Planned _ forecast</t>
  </si>
  <si>
    <t>MarCom Buffer</t>
  </si>
  <si>
    <t>DM 2025 LTP budget</t>
  </si>
  <si>
    <t>DM Planned _ forecast</t>
  </si>
  <si>
    <t>DM Buffer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</si>
</sst>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m/d/yy"/>
    <numFmt numFmtId="165" formatCode="&quot;$&quot;#,##0.00"/>
    <numFmt numFmtId="166" formatCode="[$€]#,##0"/>
    <numFmt numFmtId="167" formatCode="d&quot; &quot;mmm&quot; &quot;yy"/>
    <numFmt numFmtId="168" formatCode="d\ mmm\ yyyy"/>
    <numFmt numFmtId="169" formatCode="d\ mmmm\ yy"/>
    <numFmt numFmtId="170" formatCode="&quot;€&quot;#,##0"/>
    <numFmt numFmtId="171" formatCode="&quot;€&quot;#,##0.00"/>
    <numFmt numFmtId="172" formatCode="d\ mmm\ yy"/>
    <numFmt numFmtId="173" formatCode="d\ mmmm\ yyyy"/>
    <numFmt numFmtId="174" formatCode="[$bgn]#,##0"/>
    <numFmt numFmtId="175" formatCode="0.0"/>
    <numFmt numFmtId="176" formatCode="#,##0[$€]"/>
    <numFmt numFmtId="177" formatCode="[$BGN lev]#,##0.00"/>
  </numFmts>
  <fonts count="77">
    <font>
      <sz val="10"/>
      <color rgb="FF000000"/>
      <name val="Arial"/>
      <scheme val="minor"/>
    </font>
    <font>
      <sz val="11"/>
      <color theme="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color theme="1"/>
      <name val="Poppins"/>
    </font>
    <font>
      <sz val="11"/>
      <color rgb="FF000000"/>
      <name val="Poppins"/>
    </font>
    <font>
      <b/>
      <sz val="30"/>
      <color rgb="FF0B5394"/>
      <name val="Roboto"/>
    </font>
    <font>
      <sz val="10"/>
      <name val="Arial"/>
    </font>
    <font>
      <b/>
      <sz val="12"/>
      <color rgb="FF0B5394"/>
      <name val="Roboto"/>
    </font>
    <font>
      <sz val="12"/>
      <color rgb="FF0B5394"/>
      <name val="Roboto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color theme="1"/>
      <name val="Century Gothic"/>
    </font>
    <font>
      <b/>
      <sz val="10"/>
      <color rgb="FFB45F06"/>
      <name val="Roboto"/>
    </font>
    <font>
      <b/>
      <i/>
      <sz val="10"/>
      <color rgb="FF666666"/>
      <name val="Roboto"/>
    </font>
    <font>
      <b/>
      <i/>
      <sz val="11"/>
      <color rgb="FFFF00FF"/>
      <name val="Roboto"/>
    </font>
    <font>
      <i/>
      <sz val="10"/>
      <color rgb="FF666666"/>
      <name val="Roboto"/>
    </font>
    <font>
      <b/>
      <sz val="10"/>
      <color rgb="FF666666"/>
      <name val="Roboto"/>
    </font>
    <font>
      <sz val="10"/>
      <color rgb="FF999999"/>
      <name val="Roboto"/>
    </font>
    <font>
      <sz val="11"/>
      <color theme="1"/>
      <name val="Roboto"/>
    </font>
    <font>
      <b/>
      <sz val="10"/>
      <color rgb="FF57BB8A"/>
      <name val="Roboto"/>
    </font>
    <font>
      <sz val="11"/>
      <color rgb="FFCC0000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11"/>
      <color rgb="FFFFFFFF"/>
      <name val="Roboto"/>
    </font>
    <font>
      <b/>
      <sz val="10"/>
      <color rgb="FFFFFFFF"/>
      <name val="Arial"/>
    </font>
    <font>
      <b/>
      <sz val="8"/>
      <color theme="1"/>
      <name val="Roboto"/>
    </font>
    <font>
      <i/>
      <sz val="10"/>
      <color theme="1"/>
      <name val="Arial"/>
    </font>
    <font>
      <b/>
      <sz val="11"/>
      <color theme="1"/>
      <name val="Roboto"/>
    </font>
    <font>
      <b/>
      <sz val="10"/>
      <color theme="1"/>
      <name val="Roboto"/>
    </font>
    <font>
      <b/>
      <sz val="11"/>
      <color rgb="FF000000"/>
      <name val="Roboto"/>
    </font>
    <font>
      <b/>
      <sz val="11"/>
      <color rgb="FFF1C232"/>
      <name val="Roboto"/>
    </font>
    <font>
      <b/>
      <sz val="11"/>
      <color theme="6"/>
      <name val="Roboto"/>
    </font>
    <font>
      <b/>
      <sz val="10"/>
      <color rgb="FF000000"/>
      <name val="Roboto"/>
    </font>
    <font>
      <sz val="10"/>
      <color theme="1"/>
      <name val="Roboto"/>
    </font>
    <font>
      <sz val="10"/>
      <color rgb="FF434343"/>
      <name val="Roboto"/>
    </font>
    <font>
      <b/>
      <i/>
      <sz val="10"/>
      <color rgb="FFFF00FF"/>
      <name val="Roboto"/>
    </font>
    <font>
      <sz val="10"/>
      <color rgb="FF000000"/>
      <name val="Roboto"/>
    </font>
    <font>
      <sz val="10"/>
      <color theme="1"/>
      <name val="Arial"/>
    </font>
    <font>
      <sz val="10"/>
      <color rgb="FF434343"/>
      <name val="Roboto"/>
    </font>
    <font>
      <b/>
      <sz val="10"/>
      <color rgb="FFB45F06"/>
      <name val="Roboto"/>
    </font>
    <font>
      <sz val="10"/>
      <color rgb="FF000000"/>
      <name val="&quot;Aptos Narrow&quot;"/>
    </font>
    <font>
      <b/>
      <strike/>
      <sz val="10"/>
      <color rgb="FF57BB8A"/>
      <name val="Roboto"/>
    </font>
    <font>
      <sz val="11"/>
      <color rgb="FF434343"/>
      <name val="Roboto"/>
    </font>
    <font>
      <sz val="10"/>
      <color rgb="FFFF0000"/>
      <name val="Roboto"/>
    </font>
    <font>
      <b/>
      <i/>
      <strike/>
      <sz val="10"/>
      <color rgb="FFFF00FF"/>
      <name val="Roboto"/>
    </font>
    <font>
      <b/>
      <sz val="10"/>
      <color rgb="FF20124D"/>
      <name val="Roboto"/>
    </font>
    <font>
      <b/>
      <sz val="16"/>
      <color theme="6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Arial"/>
      <scheme val="minor"/>
    </font>
    <font>
      <b/>
      <sz val="14"/>
      <color rgb="FFFFFFFF"/>
      <name val="Arial"/>
      <scheme val="minor"/>
    </font>
    <font>
      <b/>
      <sz val="15"/>
      <color rgb="FF980000"/>
      <name val="Arial"/>
      <scheme val="minor"/>
    </font>
    <font>
      <b/>
      <sz val="15"/>
      <color rgb="FF134F5C"/>
      <name val="Arial"/>
      <scheme val="minor"/>
    </font>
    <font>
      <b/>
      <sz val="11"/>
      <color rgb="FFD9EAD3"/>
      <name val="Arial"/>
      <scheme val="minor"/>
    </font>
    <font>
      <b/>
      <sz val="16"/>
      <color theme="1"/>
      <name val="Arial"/>
      <scheme val="minor"/>
    </font>
    <font>
      <sz val="8"/>
      <color theme="1"/>
      <name val="Arial"/>
      <scheme val="minor"/>
    </font>
    <font>
      <b/>
      <sz val="12"/>
      <color rgb="FF20124D"/>
      <name val="Arial"/>
      <scheme val="minor"/>
    </font>
    <font>
      <sz val="10"/>
      <color rgb="FF000000"/>
      <name val="Arial"/>
    </font>
    <font>
      <b/>
      <sz val="11"/>
      <color rgb="FFB45F06"/>
      <name val="Roboto"/>
    </font>
    <font>
      <sz val="10"/>
      <color rgb="FFFF00FF"/>
      <name val="Roboto"/>
    </font>
    <font>
      <sz val="11"/>
      <color rgb="FFFF0000"/>
      <name val="Roboto"/>
    </font>
    <font>
      <sz val="10"/>
      <color theme="1"/>
      <name val="Roboto"/>
    </font>
    <font>
      <sz val="10"/>
      <color rgb="FFFF0000"/>
      <name val="Roboto"/>
    </font>
    <font>
      <b/>
      <i/>
      <sz val="10"/>
      <color rgb="FFFF00FF"/>
      <name val="Roboto"/>
    </font>
    <font>
      <sz val="10"/>
      <color rgb="FF000000"/>
      <name val="Roboto"/>
    </font>
    <font>
      <b/>
      <sz val="11"/>
      <color rgb="FFFBBC04"/>
      <name val="Roboto"/>
    </font>
    <font>
      <b/>
      <sz val="14"/>
      <color rgb="FF0B5394"/>
      <name val="Roboto"/>
    </font>
    <font>
      <sz val="11"/>
      <color theme="5"/>
      <name val="Roboto"/>
    </font>
    <font>
      <i/>
      <sz val="10"/>
      <color rgb="FF000000"/>
      <name val="Arial"/>
    </font>
    <font>
      <b/>
      <sz val="11"/>
      <color rgb="FFFF0000"/>
      <name val="Roboto"/>
    </font>
    <font>
      <sz val="11"/>
      <color rgb="FFFF0000"/>
      <name val="Calibri"/>
    </font>
    <font>
      <b/>
      <sz val="17"/>
      <color rgb="FFFBBC04"/>
      <name val="Arial"/>
      <scheme val="minor"/>
    </font>
    <font>
      <sz val="16"/>
      <color theme="1"/>
      <name val="Arial"/>
      <scheme val="minor"/>
    </font>
    <font>
      <sz val="11"/>
      <color theme="1"/>
      <name val="Arial"/>
      <scheme val="minor"/>
    </font>
    <font>
      <sz val="10"/>
      <color rgb="FFCC0000"/>
      <name val="Roboto"/>
    </font>
    <font>
      <sz val="10"/>
      <color rgb="FF990000"/>
      <name val="Roboto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20124D"/>
        <bgColor rgb="FF20124D"/>
      </patternFill>
    </fill>
    <fill>
      <patternFill patternType="solid">
        <fgColor rgb="FF0C343D"/>
        <bgColor rgb="FF0C343D"/>
      </patternFill>
    </fill>
    <fill>
      <patternFill patternType="solid">
        <fgColor rgb="FF38761D"/>
        <bgColor rgb="FF38761D"/>
      </patternFill>
    </fill>
    <fill>
      <patternFill patternType="solid">
        <fgColor rgb="FF85200C"/>
        <bgColor rgb="FF85200C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134F5C"/>
        <bgColor rgb="FF134F5C"/>
      </patternFill>
    </fill>
    <fill>
      <patternFill patternType="solid">
        <fgColor rgb="FF4A86E8"/>
        <bgColor rgb="FF4A86E8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</fills>
  <borders count="52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medium">
        <color rgb="FFB45F06"/>
      </left>
      <right/>
      <top style="medium">
        <color rgb="FFB45F06"/>
      </top>
      <bottom style="medium">
        <color rgb="FFB45F06"/>
      </bottom>
      <diagonal/>
    </border>
    <border>
      <left/>
      <right style="medium">
        <color rgb="FFB45F06"/>
      </right>
      <top style="medium">
        <color rgb="FFB45F06"/>
      </top>
      <bottom style="medium">
        <color rgb="FFB45F06"/>
      </bottom>
      <diagonal/>
    </border>
    <border>
      <left style="medium">
        <color rgb="FF57BB8A"/>
      </left>
      <right/>
      <top style="medium">
        <color rgb="FF57BB8A"/>
      </top>
      <bottom style="medium">
        <color rgb="FF57BB8A"/>
      </bottom>
      <diagonal/>
    </border>
    <border>
      <left/>
      <right style="medium">
        <color rgb="FF57BB8A"/>
      </right>
      <top style="medium">
        <color rgb="FF57BB8A"/>
      </top>
      <bottom style="medium">
        <color rgb="FF57BB8A"/>
      </bottom>
      <diagonal/>
    </border>
    <border>
      <left style="hair">
        <color rgb="FF999999"/>
      </left>
      <right style="hair">
        <color rgb="FF999999"/>
      </right>
      <top style="hair">
        <color rgb="FF999999"/>
      </top>
      <bottom/>
      <diagonal/>
    </border>
    <border>
      <left style="hair">
        <color rgb="FF999999"/>
      </left>
      <right/>
      <top style="hair">
        <color rgb="FF999999"/>
      </top>
      <bottom style="hair">
        <color rgb="FF999999"/>
      </bottom>
      <diagonal/>
    </border>
    <border>
      <left/>
      <right/>
      <top style="hair">
        <color rgb="FF999999"/>
      </top>
      <bottom style="hair">
        <color rgb="FF999999"/>
      </bottom>
      <diagonal/>
    </border>
    <border>
      <left/>
      <right style="hair">
        <color rgb="FF999999"/>
      </right>
      <top style="hair">
        <color rgb="FF999999"/>
      </top>
      <bottom style="hair">
        <color rgb="FF999999"/>
      </bottom>
      <diagonal/>
    </border>
    <border>
      <left style="hair">
        <color rgb="FF999999"/>
      </left>
      <right/>
      <top style="hair">
        <color rgb="FF999999"/>
      </top>
      <bottom/>
      <diagonal/>
    </border>
    <border>
      <left/>
      <right/>
      <top style="hair">
        <color rgb="FF999999"/>
      </top>
      <bottom/>
      <diagonal/>
    </border>
    <border>
      <left/>
      <right style="hair">
        <color rgb="FF999999"/>
      </right>
      <top style="hair">
        <color rgb="FF999999"/>
      </top>
      <bottom/>
      <diagonal/>
    </border>
    <border>
      <left style="hair">
        <color rgb="FF999999"/>
      </left>
      <right style="hair">
        <color rgb="FF999999"/>
      </right>
      <top/>
      <bottom style="hair">
        <color rgb="FF999999"/>
      </bottom>
      <diagonal/>
    </border>
    <border>
      <left style="hair">
        <color rgb="FF999999"/>
      </left>
      <right style="hair">
        <color rgb="FF999999"/>
      </right>
      <top style="hair">
        <color rgb="FF999999"/>
      </top>
      <bottom style="hair">
        <color rgb="FF999999"/>
      </bottom>
      <diagonal/>
    </border>
    <border>
      <left style="hair">
        <color rgb="FFCC0000"/>
      </left>
      <right style="hair">
        <color rgb="FFCC0000"/>
      </right>
      <top style="hair">
        <color rgb="FFCC0000"/>
      </top>
      <bottom style="hair">
        <color rgb="FF999999"/>
      </bottom>
      <diagonal/>
    </border>
    <border>
      <left/>
      <right/>
      <top/>
      <bottom style="thin">
        <color rgb="FFCCCCCC"/>
      </bottom>
      <diagonal/>
    </border>
    <border>
      <left style="hair">
        <color rgb="FFCC0000"/>
      </left>
      <right style="hair">
        <color rgb="FFCC0000"/>
      </right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/>
      <top/>
      <bottom style="hair">
        <color rgb="FFB7B7B7"/>
      </bottom>
      <diagonal/>
    </border>
    <border>
      <left style="hair">
        <color rgb="FFCC0000"/>
      </left>
      <right style="hair">
        <color rgb="FFCC0000"/>
      </right>
      <top/>
      <bottom style="hair">
        <color rgb="FFB7B7B7"/>
      </bottom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/>
      <top style="hair">
        <color rgb="FFB7B7B7"/>
      </top>
      <bottom style="hair">
        <color rgb="FFB7B7B7"/>
      </bottom>
      <diagonal/>
    </border>
    <border>
      <left style="hair">
        <color rgb="FFCC0000"/>
      </left>
      <right style="hair">
        <color rgb="FFCC0000"/>
      </right>
      <top style="hair">
        <color rgb="FFB7B7B7"/>
      </top>
      <bottom style="hair">
        <color rgb="FFB7B7B7"/>
      </bottom>
      <diagonal/>
    </border>
    <border>
      <left/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/>
      <bottom style="hair">
        <color rgb="FFB7B7B7"/>
      </bottom>
      <diagonal/>
    </border>
    <border>
      <left style="hair">
        <color rgb="FFCC0000"/>
      </left>
      <right style="hair">
        <color rgb="FFCC0000"/>
      </right>
      <top style="hair">
        <color rgb="FF999999"/>
      </top>
      <bottom style="hair">
        <color rgb="FF999999"/>
      </bottom>
      <diagonal/>
    </border>
    <border>
      <left style="thin">
        <color rgb="FFB7B7B7"/>
      </left>
      <right/>
      <top/>
      <bottom style="hair">
        <color rgb="FFB7B7B7"/>
      </bottom>
      <diagonal/>
    </border>
    <border>
      <left style="hair">
        <color rgb="FFCC0000"/>
      </left>
      <right style="hair">
        <color rgb="FFCC0000"/>
      </right>
      <top style="hair">
        <color rgb="FFB7B7B7"/>
      </top>
      <bottom style="hair">
        <color rgb="FFCC0000"/>
      </bottom>
      <diagonal/>
    </border>
    <border>
      <left style="medium">
        <color rgb="FF20124D"/>
      </left>
      <right style="medium">
        <color rgb="FF20124D"/>
      </right>
      <top style="medium">
        <color rgb="FF20124D"/>
      </top>
      <bottom style="medium">
        <color rgb="FF20124D"/>
      </bottom>
      <diagonal/>
    </border>
    <border>
      <left style="medium">
        <color rgb="FF20124D"/>
      </left>
      <right/>
      <top style="medium">
        <color rgb="FF20124D"/>
      </top>
      <bottom style="medium">
        <color rgb="FF20124D"/>
      </bottom>
      <diagonal/>
    </border>
    <border>
      <left/>
      <right/>
      <top style="medium">
        <color rgb="FF20124D"/>
      </top>
      <bottom style="medium">
        <color rgb="FF20124D"/>
      </bottom>
      <diagonal/>
    </border>
    <border>
      <left/>
      <right style="medium">
        <color rgb="FF20124D"/>
      </right>
      <top style="medium">
        <color rgb="FF20124D"/>
      </top>
      <bottom style="medium">
        <color rgb="FF20124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9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2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3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14" xfId="0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0" fontId="28" fillId="0" borderId="15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9" fillId="0" borderId="14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1" fillId="4" borderId="16" xfId="0" applyFont="1" applyFill="1" applyBorder="1" applyAlignment="1">
      <alignment horizontal="left" vertical="center" wrapText="1"/>
    </xf>
    <xf numFmtId="0" fontId="32" fillId="4" borderId="16" xfId="0" applyFont="1" applyFill="1" applyBorder="1" applyAlignment="1">
      <alignment vertical="center"/>
    </xf>
    <xf numFmtId="0" fontId="31" fillId="4" borderId="16" xfId="0" applyFont="1" applyFill="1" applyBorder="1" applyAlignment="1">
      <alignment vertical="center" wrapText="1"/>
    </xf>
    <xf numFmtId="0" fontId="31" fillId="4" borderId="0" xfId="0" applyFont="1" applyFill="1" applyAlignment="1">
      <alignment horizontal="center" vertical="center"/>
    </xf>
    <xf numFmtId="165" fontId="31" fillId="4" borderId="0" xfId="0" applyNumberFormat="1" applyFont="1" applyFill="1" applyAlignment="1">
      <alignment horizontal="center" vertical="center"/>
    </xf>
    <xf numFmtId="3" fontId="31" fillId="4" borderId="0" xfId="0" applyNumberFormat="1" applyFont="1" applyFill="1" applyAlignment="1">
      <alignment horizontal="center" vertical="center"/>
    </xf>
    <xf numFmtId="3" fontId="31" fillId="4" borderId="17" xfId="0" applyNumberFormat="1" applyFont="1" applyFill="1" applyBorder="1" applyAlignment="1">
      <alignment horizontal="center" vertical="center"/>
    </xf>
    <xf numFmtId="166" fontId="33" fillId="4" borderId="0" xfId="0" applyNumberFormat="1" applyFont="1" applyFill="1" applyAlignment="1">
      <alignment horizontal="center" vertical="center"/>
    </xf>
    <xf numFmtId="0" fontId="31" fillId="8" borderId="16" xfId="0" applyFont="1" applyFill="1" applyBorder="1" applyAlignment="1">
      <alignment horizontal="left" vertical="center" wrapText="1"/>
    </xf>
    <xf numFmtId="0" fontId="31" fillId="8" borderId="16" xfId="0" applyFont="1" applyFill="1" applyBorder="1" applyAlignment="1">
      <alignment vertical="center"/>
    </xf>
    <xf numFmtId="0" fontId="31" fillId="8" borderId="16" xfId="0" applyFont="1" applyFill="1" applyBorder="1" applyAlignment="1">
      <alignment vertical="center" wrapText="1"/>
    </xf>
    <xf numFmtId="0" fontId="31" fillId="8" borderId="0" xfId="0" applyFont="1" applyFill="1" applyAlignment="1">
      <alignment vertical="center" wrapText="1"/>
    </xf>
    <xf numFmtId="0" fontId="34" fillId="8" borderId="0" xfId="0" applyFont="1" applyFill="1" applyAlignment="1">
      <alignment horizontal="center" vertical="center"/>
    </xf>
    <xf numFmtId="165" fontId="34" fillId="8" borderId="0" xfId="0" applyNumberFormat="1" applyFont="1" applyFill="1" applyAlignment="1">
      <alignment horizontal="center" vertical="center"/>
    </xf>
    <xf numFmtId="3" fontId="34" fillId="8" borderId="0" xfId="0" applyNumberFormat="1" applyFont="1" applyFill="1" applyAlignment="1">
      <alignment horizontal="center" vertical="center"/>
    </xf>
    <xf numFmtId="3" fontId="34" fillId="8" borderId="17" xfId="0" applyNumberFormat="1" applyFont="1" applyFill="1" applyBorder="1" applyAlignment="1">
      <alignment horizontal="center" vertical="center"/>
    </xf>
    <xf numFmtId="166" fontId="34" fillId="8" borderId="0" xfId="0" applyNumberFormat="1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6" fillId="0" borderId="18" xfId="0" applyFont="1" applyBorder="1" applyAlignment="1">
      <alignment horizontal="left" vertical="center" wrapText="1"/>
    </xf>
    <xf numFmtId="167" fontId="36" fillId="0" borderId="18" xfId="0" applyNumberFormat="1" applyFont="1" applyBorder="1" applyAlignment="1">
      <alignment horizontal="left" vertical="center" wrapText="1"/>
    </xf>
    <xf numFmtId="0" fontId="36" fillId="9" borderId="14" xfId="0" applyFont="1" applyFill="1" applyBorder="1" applyAlignment="1">
      <alignment horizontal="left" vertical="center" wrapText="1"/>
    </xf>
    <xf numFmtId="9" fontId="38" fillId="9" borderId="19" xfId="0" applyNumberFormat="1" applyFont="1" applyFill="1" applyBorder="1" applyAlignment="1">
      <alignment horizontal="center" vertical="center"/>
    </xf>
    <xf numFmtId="165" fontId="38" fillId="9" borderId="20" xfId="0" applyNumberFormat="1" applyFont="1" applyFill="1" applyBorder="1" applyAlignment="1">
      <alignment horizontal="center" vertical="center"/>
    </xf>
    <xf numFmtId="0" fontId="38" fillId="9" borderId="21" xfId="0" applyFont="1" applyFill="1" applyBorder="1" applyAlignment="1">
      <alignment horizontal="center" vertical="center"/>
    </xf>
    <xf numFmtId="0" fontId="38" fillId="9" borderId="22" xfId="0" applyFont="1" applyFill="1" applyBorder="1" applyAlignment="1">
      <alignment horizontal="center" vertical="center"/>
    </xf>
    <xf numFmtId="0" fontId="38" fillId="9" borderId="23" xfId="0" applyFont="1" applyFill="1" applyBorder="1" applyAlignment="1">
      <alignment horizontal="center" vertical="center"/>
    </xf>
    <xf numFmtId="166" fontId="38" fillId="9" borderId="23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/>
    </xf>
    <xf numFmtId="167" fontId="36" fillId="0" borderId="0" xfId="0" applyNumberFormat="1" applyFont="1" applyAlignment="1">
      <alignment horizontal="left" vertical="center" wrapText="1"/>
    </xf>
    <xf numFmtId="0" fontId="36" fillId="0" borderId="14" xfId="0" applyFont="1" applyBorder="1" applyAlignment="1">
      <alignment horizontal="left" vertical="center" wrapText="1"/>
    </xf>
    <xf numFmtId="9" fontId="38" fillId="0" borderId="19" xfId="0" applyNumberFormat="1" applyFont="1" applyBorder="1" applyAlignment="1">
      <alignment horizontal="center" vertical="center"/>
    </xf>
    <xf numFmtId="165" fontId="38" fillId="0" borderId="20" xfId="0" applyNumberFormat="1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166" fontId="38" fillId="0" borderId="20" xfId="0" applyNumberFormat="1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166" fontId="38" fillId="0" borderId="23" xfId="0" applyNumberFormat="1" applyFont="1" applyBorder="1" applyAlignment="1">
      <alignment horizontal="center" vertical="center"/>
    </xf>
    <xf numFmtId="0" fontId="31" fillId="8" borderId="0" xfId="0" applyFont="1" applyFill="1" applyAlignment="1">
      <alignment vertical="center"/>
    </xf>
    <xf numFmtId="167" fontId="31" fillId="8" borderId="16" xfId="0" applyNumberFormat="1" applyFont="1" applyFill="1" applyBorder="1" applyAlignment="1">
      <alignment vertical="center" wrapText="1"/>
    </xf>
    <xf numFmtId="167" fontId="31" fillId="8" borderId="14" xfId="0" applyNumberFormat="1" applyFont="1" applyFill="1" applyBorder="1" applyAlignment="1">
      <alignment vertical="center" wrapText="1"/>
    </xf>
    <xf numFmtId="0" fontId="23" fillId="8" borderId="0" xfId="0" applyFont="1" applyFill="1" applyAlignment="1">
      <alignment horizontal="center" vertical="center"/>
    </xf>
    <xf numFmtId="3" fontId="23" fillId="8" borderId="0" xfId="0" applyNumberFormat="1" applyFont="1" applyFill="1" applyAlignment="1">
      <alignment horizontal="center" vertical="center"/>
    </xf>
    <xf numFmtId="3" fontId="23" fillId="8" borderId="17" xfId="0" applyNumberFormat="1" applyFont="1" applyFill="1" applyBorder="1" applyAlignment="1">
      <alignment horizontal="center" vertical="center"/>
    </xf>
    <xf numFmtId="0" fontId="39" fillId="0" borderId="0" xfId="0" applyFont="1"/>
    <xf numFmtId="0" fontId="40" fillId="0" borderId="18" xfId="0" applyFont="1" applyBorder="1" applyAlignment="1">
      <alignment horizontal="left" wrapText="1"/>
    </xf>
    <xf numFmtId="167" fontId="40" fillId="0" borderId="18" xfId="0" applyNumberFormat="1" applyFont="1" applyBorder="1" applyAlignment="1">
      <alignment horizontal="left" wrapText="1"/>
    </xf>
    <xf numFmtId="168" fontId="40" fillId="0" borderId="18" xfId="0" applyNumberFormat="1" applyFont="1" applyBorder="1" applyAlignment="1">
      <alignment horizontal="left" wrapText="1"/>
    </xf>
    <xf numFmtId="167" fontId="40" fillId="9" borderId="14" xfId="0" applyNumberFormat="1" applyFont="1" applyFill="1" applyBorder="1" applyAlignment="1">
      <alignment wrapText="1"/>
    </xf>
    <xf numFmtId="9" fontId="39" fillId="9" borderId="19" xfId="0" applyNumberFormat="1" applyFont="1" applyFill="1" applyBorder="1"/>
    <xf numFmtId="165" fontId="39" fillId="9" borderId="20" xfId="0" applyNumberFormat="1" applyFont="1" applyFill="1" applyBorder="1"/>
    <xf numFmtId="0" fontId="39" fillId="9" borderId="21" xfId="0" applyFont="1" applyFill="1" applyBorder="1"/>
    <xf numFmtId="0" fontId="39" fillId="9" borderId="22" xfId="0" applyFont="1" applyFill="1" applyBorder="1"/>
    <xf numFmtId="0" fontId="39" fillId="9" borderId="23" xfId="0" applyFont="1" applyFill="1" applyBorder="1"/>
    <xf numFmtId="0" fontId="39" fillId="9" borderId="20" xfId="0" applyFont="1" applyFill="1" applyBorder="1"/>
    <xf numFmtId="166" fontId="39" fillId="9" borderId="20" xfId="0" applyNumberFormat="1" applyFont="1" applyFill="1" applyBorder="1" applyAlignment="1">
      <alignment horizontal="center"/>
    </xf>
    <xf numFmtId="166" fontId="38" fillId="0" borderId="22" xfId="0" applyNumberFormat="1" applyFont="1" applyBorder="1" applyAlignment="1">
      <alignment horizontal="center" vertical="center"/>
    </xf>
    <xf numFmtId="169" fontId="40" fillId="0" borderId="18" xfId="0" applyNumberFormat="1" applyFont="1" applyBorder="1" applyAlignment="1">
      <alignment horizontal="left" wrapText="1"/>
    </xf>
    <xf numFmtId="169" fontId="40" fillId="9" borderId="14" xfId="0" applyNumberFormat="1" applyFont="1" applyFill="1" applyBorder="1" applyAlignment="1">
      <alignment wrapText="1"/>
    </xf>
    <xf numFmtId="166" fontId="38" fillId="9" borderId="20" xfId="0" applyNumberFormat="1" applyFont="1" applyFill="1" applyBorder="1" applyAlignment="1">
      <alignment horizontal="center" vertical="center"/>
    </xf>
    <xf numFmtId="170" fontId="38" fillId="0" borderId="23" xfId="0" applyNumberFormat="1" applyFont="1" applyBorder="1" applyAlignment="1">
      <alignment horizontal="center" vertical="center"/>
    </xf>
    <xf numFmtId="170" fontId="38" fillId="0" borderId="20" xfId="0" applyNumberFormat="1" applyFont="1" applyBorder="1" applyAlignment="1">
      <alignment horizontal="center" vertical="center"/>
    </xf>
    <xf numFmtId="9" fontId="39" fillId="9" borderId="24" xfId="0" applyNumberFormat="1" applyFont="1" applyFill="1" applyBorder="1"/>
    <xf numFmtId="165" fontId="39" fillId="9" borderId="25" xfId="0" applyNumberFormat="1" applyFont="1" applyFill="1" applyBorder="1"/>
    <xf numFmtId="0" fontId="39" fillId="9" borderId="26" xfId="0" applyFont="1" applyFill="1" applyBorder="1"/>
    <xf numFmtId="0" fontId="39" fillId="9" borderId="27" xfId="0" applyFont="1" applyFill="1" applyBorder="1"/>
    <xf numFmtId="0" fontId="39" fillId="9" borderId="28" xfId="0" applyFont="1" applyFill="1" applyBorder="1"/>
    <xf numFmtId="0" fontId="39" fillId="9" borderId="25" xfId="0" applyFont="1" applyFill="1" applyBorder="1"/>
    <xf numFmtId="166" fontId="38" fillId="0" borderId="27" xfId="0" applyNumberFormat="1" applyFont="1" applyBorder="1" applyAlignment="1">
      <alignment horizontal="center" vertical="center"/>
    </xf>
    <xf numFmtId="0" fontId="39" fillId="0" borderId="23" xfId="0" applyFont="1" applyBorder="1"/>
    <xf numFmtId="0" fontId="39" fillId="0" borderId="20" xfId="0" applyFont="1" applyBorder="1"/>
    <xf numFmtId="166" fontId="42" fillId="10" borderId="0" xfId="0" applyNumberFormat="1" applyFont="1" applyFill="1" applyAlignment="1">
      <alignment horizontal="center"/>
    </xf>
    <xf numFmtId="171" fontId="38" fillId="0" borderId="23" xfId="0" applyNumberFormat="1" applyFont="1" applyBorder="1" applyAlignment="1">
      <alignment horizontal="center" vertical="center"/>
    </xf>
    <xf numFmtId="171" fontId="38" fillId="0" borderId="20" xfId="0" applyNumberFormat="1" applyFont="1" applyBorder="1" applyAlignment="1">
      <alignment horizontal="center" vertical="center"/>
    </xf>
    <xf numFmtId="172" fontId="40" fillId="0" borderId="18" xfId="0" applyNumberFormat="1" applyFont="1" applyBorder="1" applyAlignment="1">
      <alignment horizontal="left" wrapText="1"/>
    </xf>
    <xf numFmtId="172" fontId="40" fillId="9" borderId="14" xfId="0" applyNumberFormat="1" applyFont="1" applyFill="1" applyBorder="1" applyAlignment="1">
      <alignment wrapText="1"/>
    </xf>
    <xf numFmtId="166" fontId="38" fillId="10" borderId="20" xfId="0" applyNumberFormat="1" applyFont="1" applyFill="1" applyBorder="1" applyAlignment="1">
      <alignment horizontal="center" vertical="center"/>
    </xf>
    <xf numFmtId="166" fontId="23" fillId="0" borderId="23" xfId="0" applyNumberFormat="1" applyFont="1" applyBorder="1" applyAlignment="1">
      <alignment horizontal="center" vertical="center"/>
    </xf>
    <xf numFmtId="166" fontId="38" fillId="10" borderId="23" xfId="0" applyNumberFormat="1" applyFont="1" applyFill="1" applyBorder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165" fontId="31" fillId="8" borderId="0" xfId="0" applyNumberFormat="1" applyFont="1" applyFill="1" applyAlignment="1">
      <alignment horizontal="center" vertical="center"/>
    </xf>
    <xf numFmtId="3" fontId="31" fillId="8" borderId="0" xfId="0" applyNumberFormat="1" applyFont="1" applyFill="1" applyAlignment="1">
      <alignment horizontal="center" vertical="center"/>
    </xf>
    <xf numFmtId="3" fontId="31" fillId="8" borderId="17" xfId="0" applyNumberFormat="1" applyFont="1" applyFill="1" applyBorder="1" applyAlignment="1">
      <alignment horizontal="center" vertical="center"/>
    </xf>
    <xf numFmtId="166" fontId="31" fillId="8" borderId="0" xfId="0" applyNumberFormat="1" applyFont="1" applyFill="1" applyAlignment="1">
      <alignment horizontal="center" vertical="center"/>
    </xf>
    <xf numFmtId="168" fontId="36" fillId="0" borderId="18" xfId="0" applyNumberFormat="1" applyFont="1" applyBorder="1" applyAlignment="1">
      <alignment horizontal="left" vertical="center" wrapText="1"/>
    </xf>
    <xf numFmtId="168" fontId="36" fillId="9" borderId="6" xfId="0" applyNumberFormat="1" applyFont="1" applyFill="1" applyBorder="1" applyAlignment="1">
      <alignment horizontal="left" vertical="center" wrapText="1"/>
    </xf>
    <xf numFmtId="0" fontId="34" fillId="9" borderId="20" xfId="0" applyFont="1" applyFill="1" applyBorder="1" applyAlignment="1">
      <alignment horizontal="center" vertical="center"/>
    </xf>
    <xf numFmtId="0" fontId="34" fillId="9" borderId="21" xfId="0" applyFont="1" applyFill="1" applyBorder="1" applyAlignment="1">
      <alignment horizontal="center" vertical="center"/>
    </xf>
    <xf numFmtId="0" fontId="34" fillId="9" borderId="22" xfId="0" applyFont="1" applyFill="1" applyBorder="1" applyAlignment="1">
      <alignment horizontal="center" vertical="center"/>
    </xf>
    <xf numFmtId="0" fontId="34" fillId="9" borderId="23" xfId="0" applyFont="1" applyFill="1" applyBorder="1" applyAlignment="1">
      <alignment horizontal="center" vertical="center"/>
    </xf>
    <xf numFmtId="0" fontId="38" fillId="9" borderId="20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68" fontId="36" fillId="0" borderId="0" xfId="0" applyNumberFormat="1" applyFont="1" applyAlignment="1">
      <alignment horizontal="left" vertical="center" wrapText="1"/>
    </xf>
    <xf numFmtId="0" fontId="34" fillId="0" borderId="25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166" fontId="38" fillId="10" borderId="25" xfId="0" applyNumberFormat="1" applyFont="1" applyFill="1" applyBorder="1" applyAlignment="1">
      <alignment horizontal="center" vertical="center"/>
    </xf>
    <xf numFmtId="166" fontId="38" fillId="0" borderId="25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6" fillId="0" borderId="6" xfId="0" applyFont="1" applyBorder="1" applyAlignment="1">
      <alignment horizontal="left" vertical="center" wrapText="1"/>
    </xf>
    <xf numFmtId="168" fontId="36" fillId="9" borderId="25" xfId="0" applyNumberFormat="1" applyFont="1" applyFill="1" applyBorder="1" applyAlignment="1">
      <alignment horizontal="left" vertical="center" wrapText="1"/>
    </xf>
    <xf numFmtId="0" fontId="36" fillId="0" borderId="13" xfId="0" applyFont="1" applyBorder="1" applyAlignment="1">
      <alignment horizontal="left" vertical="center" wrapText="1"/>
    </xf>
    <xf numFmtId="167" fontId="36" fillId="9" borderId="14" xfId="0" applyNumberFormat="1" applyFont="1" applyFill="1" applyBorder="1" applyAlignment="1">
      <alignment horizontal="left" vertical="center" wrapText="1"/>
    </xf>
    <xf numFmtId="9" fontId="34" fillId="9" borderId="24" xfId="0" applyNumberFormat="1" applyFont="1" applyFill="1" applyBorder="1" applyAlignment="1">
      <alignment horizontal="center" vertical="center"/>
    </xf>
    <xf numFmtId="165" fontId="34" fillId="9" borderId="25" xfId="0" applyNumberFormat="1" applyFont="1" applyFill="1" applyBorder="1" applyAlignment="1">
      <alignment horizontal="center" vertical="center"/>
    </xf>
    <xf numFmtId="0" fontId="34" fillId="9" borderId="26" xfId="0" applyFont="1" applyFill="1" applyBorder="1" applyAlignment="1">
      <alignment horizontal="center" vertical="center"/>
    </xf>
    <xf numFmtId="0" fontId="34" fillId="9" borderId="27" xfId="0" applyFont="1" applyFill="1" applyBorder="1" applyAlignment="1">
      <alignment horizontal="center" vertical="center"/>
    </xf>
    <xf numFmtId="0" fontId="34" fillId="9" borderId="28" xfId="0" applyFont="1" applyFill="1" applyBorder="1" applyAlignment="1">
      <alignment horizontal="center" vertical="center"/>
    </xf>
    <xf numFmtId="0" fontId="34" fillId="9" borderId="25" xfId="0" applyFont="1" applyFill="1" applyBorder="1" applyAlignment="1">
      <alignment horizontal="center" vertical="center"/>
    </xf>
    <xf numFmtId="166" fontId="38" fillId="9" borderId="25" xfId="0" applyNumberFormat="1" applyFont="1" applyFill="1" applyBorder="1" applyAlignment="1">
      <alignment horizontal="center" vertical="center"/>
    </xf>
    <xf numFmtId="170" fontId="38" fillId="9" borderId="25" xfId="0" applyNumberFormat="1" applyFont="1" applyFill="1" applyBorder="1" applyAlignment="1">
      <alignment horizontal="center" vertical="center"/>
    </xf>
    <xf numFmtId="170" fontId="38" fillId="0" borderId="29" xfId="0" applyNumberFormat="1" applyFont="1" applyBorder="1" applyAlignment="1">
      <alignment horizontal="center" vertical="center"/>
    </xf>
    <xf numFmtId="170" fontId="38" fillId="0" borderId="22" xfId="0" applyNumberFormat="1" applyFont="1" applyBorder="1" applyAlignment="1">
      <alignment horizontal="center" vertical="center"/>
    </xf>
    <xf numFmtId="167" fontId="36" fillId="9" borderId="7" xfId="0" applyNumberFormat="1" applyFont="1" applyFill="1" applyBorder="1" applyAlignment="1">
      <alignment horizontal="left" vertical="center" wrapText="1"/>
    </xf>
    <xf numFmtId="167" fontId="36" fillId="9" borderId="30" xfId="0" applyNumberFormat="1" applyFont="1" applyFill="1" applyBorder="1" applyAlignment="1">
      <alignment horizontal="left" vertical="center" wrapText="1"/>
    </xf>
    <xf numFmtId="167" fontId="36" fillId="9" borderId="9" xfId="0" applyNumberFormat="1" applyFont="1" applyFill="1" applyBorder="1" applyAlignment="1">
      <alignment horizontal="left" vertical="center" wrapText="1"/>
    </xf>
    <xf numFmtId="166" fontId="38" fillId="0" borderId="29" xfId="0" applyNumberFormat="1" applyFont="1" applyBorder="1" applyAlignment="1">
      <alignment horizontal="center" vertical="center"/>
    </xf>
    <xf numFmtId="9" fontId="34" fillId="9" borderId="19" xfId="0" applyNumberFormat="1" applyFont="1" applyFill="1" applyBorder="1" applyAlignment="1">
      <alignment horizontal="center" vertical="center"/>
    </xf>
    <xf numFmtId="165" fontId="34" fillId="9" borderId="20" xfId="0" applyNumberFormat="1" applyFont="1" applyFill="1" applyBorder="1" applyAlignment="1">
      <alignment horizontal="center" vertical="center"/>
    </xf>
    <xf numFmtId="165" fontId="34" fillId="9" borderId="21" xfId="0" applyNumberFormat="1" applyFont="1" applyFill="1" applyBorder="1" applyAlignment="1">
      <alignment horizontal="center" vertical="center"/>
    </xf>
    <xf numFmtId="165" fontId="34" fillId="9" borderId="22" xfId="0" applyNumberFormat="1" applyFont="1" applyFill="1" applyBorder="1" applyAlignment="1">
      <alignment horizontal="center" vertical="center"/>
    </xf>
    <xf numFmtId="165" fontId="34" fillId="9" borderId="23" xfId="0" applyNumberFormat="1" applyFont="1" applyFill="1" applyBorder="1" applyAlignment="1">
      <alignment horizontal="center" vertical="center"/>
    </xf>
    <xf numFmtId="166" fontId="23" fillId="9" borderId="25" xfId="0" applyNumberFormat="1" applyFont="1" applyFill="1" applyBorder="1" applyAlignment="1">
      <alignment horizontal="center" vertical="center"/>
    </xf>
    <xf numFmtId="165" fontId="34" fillId="9" borderId="26" xfId="0" applyNumberFormat="1" applyFont="1" applyFill="1" applyBorder="1" applyAlignment="1">
      <alignment horizontal="center" vertical="center"/>
    </xf>
    <xf numFmtId="165" fontId="34" fillId="9" borderId="27" xfId="0" applyNumberFormat="1" applyFont="1" applyFill="1" applyBorder="1" applyAlignment="1">
      <alignment horizontal="center" vertical="center"/>
    </xf>
    <xf numFmtId="165" fontId="34" fillId="9" borderId="28" xfId="0" applyNumberFormat="1" applyFont="1" applyFill="1" applyBorder="1" applyAlignment="1">
      <alignment horizontal="center" vertical="center"/>
    </xf>
    <xf numFmtId="172" fontId="36" fillId="0" borderId="18" xfId="0" applyNumberFormat="1" applyFont="1" applyBorder="1" applyAlignment="1">
      <alignment horizontal="left" vertical="center" wrapText="1"/>
    </xf>
    <xf numFmtId="172" fontId="36" fillId="9" borderId="14" xfId="0" applyNumberFormat="1" applyFont="1" applyFill="1" applyBorder="1" applyAlignment="1">
      <alignment horizontal="left" vertical="center" wrapText="1"/>
    </xf>
    <xf numFmtId="9" fontId="34" fillId="9" borderId="31" xfId="0" applyNumberFormat="1" applyFont="1" applyFill="1" applyBorder="1" applyAlignment="1">
      <alignment horizontal="center" vertical="center"/>
    </xf>
    <xf numFmtId="9" fontId="34" fillId="9" borderId="22" xfId="0" applyNumberFormat="1" applyFont="1" applyFill="1" applyBorder="1" applyAlignment="1">
      <alignment horizontal="center" vertical="center"/>
    </xf>
    <xf numFmtId="9" fontId="34" fillId="9" borderId="23" xfId="0" applyNumberFormat="1" applyFont="1" applyFill="1" applyBorder="1" applyAlignment="1">
      <alignment horizontal="center" vertical="center"/>
    </xf>
    <xf numFmtId="166" fontId="23" fillId="9" borderId="0" xfId="0" applyNumberFormat="1" applyFont="1" applyFill="1" applyAlignment="1">
      <alignment horizontal="center" vertical="center"/>
    </xf>
    <xf numFmtId="168" fontId="36" fillId="0" borderId="14" xfId="0" applyNumberFormat="1" applyFont="1" applyBorder="1" applyAlignment="1">
      <alignment horizontal="left" vertical="center" wrapText="1"/>
    </xf>
    <xf numFmtId="173" fontId="36" fillId="0" borderId="18" xfId="0" applyNumberFormat="1" applyFont="1" applyBorder="1" applyAlignment="1">
      <alignment horizontal="left" vertical="center" wrapText="1"/>
    </xf>
    <xf numFmtId="173" fontId="36" fillId="0" borderId="14" xfId="0" applyNumberFormat="1" applyFont="1" applyBorder="1" applyAlignment="1">
      <alignment horizontal="left" vertical="center" wrapText="1"/>
    </xf>
    <xf numFmtId="2" fontId="36" fillId="0" borderId="18" xfId="0" applyNumberFormat="1" applyFont="1" applyBorder="1" applyAlignment="1">
      <alignment horizontal="left" vertical="center" wrapText="1"/>
    </xf>
    <xf numFmtId="166" fontId="38" fillId="9" borderId="29" xfId="0" applyNumberFormat="1" applyFont="1" applyFill="1" applyBorder="1" applyAlignment="1">
      <alignment horizontal="center" vertical="center"/>
    </xf>
    <xf numFmtId="166" fontId="38" fillId="9" borderId="22" xfId="0" applyNumberFormat="1" applyFont="1" applyFill="1" applyBorder="1" applyAlignment="1">
      <alignment horizontal="center" vertical="center"/>
    </xf>
    <xf numFmtId="9" fontId="34" fillId="0" borderId="19" xfId="0" applyNumberFormat="1" applyFont="1" applyBorder="1" applyAlignment="1">
      <alignment horizontal="center" vertical="center"/>
    </xf>
    <xf numFmtId="168" fontId="36" fillId="9" borderId="14" xfId="0" applyNumberFormat="1" applyFont="1" applyFill="1" applyBorder="1" applyAlignment="1">
      <alignment horizontal="left" vertical="center" wrapText="1"/>
    </xf>
    <xf numFmtId="0" fontId="31" fillId="4" borderId="0" xfId="0" applyFont="1" applyFill="1" applyAlignment="1">
      <alignment vertical="center" wrapText="1"/>
    </xf>
    <xf numFmtId="0" fontId="31" fillId="4" borderId="17" xfId="0" applyFont="1" applyFill="1" applyBorder="1" applyAlignment="1">
      <alignment vertical="center" wrapText="1"/>
    </xf>
    <xf numFmtId="166" fontId="33" fillId="4" borderId="0" xfId="0" applyNumberFormat="1" applyFont="1" applyFill="1" applyAlignment="1">
      <alignment horizontal="center" vertical="center" wrapText="1"/>
    </xf>
    <xf numFmtId="9" fontId="34" fillId="0" borderId="23" xfId="0" applyNumberFormat="1" applyFont="1" applyBorder="1" applyAlignment="1">
      <alignment horizontal="center" vertical="center"/>
    </xf>
    <xf numFmtId="0" fontId="44" fillId="9" borderId="14" xfId="0" applyFont="1" applyFill="1" applyBorder="1" applyAlignment="1">
      <alignment horizontal="left" vertical="center" wrapText="1"/>
    </xf>
    <xf numFmtId="166" fontId="45" fillId="9" borderId="23" xfId="0" applyNumberFormat="1" applyFont="1" applyFill="1" applyBorder="1" applyAlignment="1">
      <alignment horizontal="center" vertical="center"/>
    </xf>
    <xf numFmtId="166" fontId="38" fillId="9" borderId="26" xfId="0" applyNumberFormat="1" applyFont="1" applyFill="1" applyBorder="1" applyAlignment="1">
      <alignment horizontal="center" vertical="center"/>
    </xf>
    <xf numFmtId="166" fontId="38" fillId="9" borderId="27" xfId="0" applyNumberFormat="1" applyFont="1" applyFill="1" applyBorder="1" applyAlignment="1">
      <alignment horizontal="center" vertical="center"/>
    </xf>
    <xf numFmtId="166" fontId="38" fillId="9" borderId="28" xfId="0" applyNumberFormat="1" applyFont="1" applyFill="1" applyBorder="1" applyAlignment="1">
      <alignment horizontal="center" vertical="center"/>
    </xf>
    <xf numFmtId="166" fontId="38" fillId="9" borderId="32" xfId="0" applyNumberFormat="1" applyFont="1" applyFill="1" applyBorder="1" applyAlignment="1">
      <alignment horizontal="center" vertical="center"/>
    </xf>
    <xf numFmtId="9" fontId="34" fillId="0" borderId="0" xfId="0" applyNumberFormat="1" applyFont="1" applyAlignment="1">
      <alignment horizontal="center" vertical="center"/>
    </xf>
    <xf numFmtId="165" fontId="34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49" fillId="0" borderId="0" xfId="0" applyFont="1"/>
    <xf numFmtId="0" fontId="50" fillId="11" borderId="33" xfId="0" applyFont="1" applyFill="1" applyBorder="1" applyAlignment="1">
      <alignment horizontal="center" vertical="center"/>
    </xf>
    <xf numFmtId="0" fontId="50" fillId="12" borderId="33" xfId="0" applyFont="1" applyFill="1" applyBorder="1" applyAlignment="1">
      <alignment horizontal="center" vertical="center"/>
    </xf>
    <xf numFmtId="0" fontId="51" fillId="13" borderId="0" xfId="0" applyFont="1" applyFill="1" applyAlignment="1">
      <alignment horizontal="center" vertical="center"/>
    </xf>
    <xf numFmtId="166" fontId="52" fillId="0" borderId="33" xfId="0" applyNumberFormat="1" applyFont="1" applyBorder="1" applyAlignment="1">
      <alignment horizontal="center" vertical="center"/>
    </xf>
    <xf numFmtId="166" fontId="53" fillId="0" borderId="33" xfId="0" applyNumberFormat="1" applyFont="1" applyBorder="1" applyAlignment="1">
      <alignment horizontal="center" vertical="center"/>
    </xf>
    <xf numFmtId="0" fontId="54" fillId="4" borderId="0" xfId="0" applyFont="1" applyFill="1" applyAlignment="1">
      <alignment vertical="center"/>
    </xf>
    <xf numFmtId="10" fontId="53" fillId="0" borderId="33" xfId="0" applyNumberFormat="1" applyFont="1" applyBorder="1" applyAlignment="1">
      <alignment horizontal="center" vertical="center"/>
    </xf>
    <xf numFmtId="0" fontId="56" fillId="0" borderId="0" xfId="0" applyFont="1" applyAlignment="1">
      <alignment wrapText="1"/>
    </xf>
    <xf numFmtId="174" fontId="57" fillId="0" borderId="33" xfId="0" applyNumberFormat="1" applyFont="1" applyBorder="1" applyAlignment="1">
      <alignment horizontal="center" vertical="center"/>
    </xf>
    <xf numFmtId="0" fontId="54" fillId="4" borderId="33" xfId="0" applyFont="1" applyFill="1" applyBorder="1" applyAlignment="1">
      <alignment vertical="center"/>
    </xf>
    <xf numFmtId="0" fontId="28" fillId="0" borderId="26" xfId="0" applyFont="1" applyBorder="1" applyAlignment="1">
      <alignment horizontal="center"/>
    </xf>
    <xf numFmtId="3" fontId="31" fillId="4" borderId="26" xfId="0" applyNumberFormat="1" applyFont="1" applyFill="1" applyBorder="1" applyAlignment="1">
      <alignment horizontal="center" vertical="center"/>
    </xf>
    <xf numFmtId="0" fontId="31" fillId="4" borderId="14" xfId="0" applyFont="1" applyFill="1" applyBorder="1" applyAlignment="1">
      <alignment horizontal="center" vertical="center"/>
    </xf>
    <xf numFmtId="3" fontId="34" fillId="8" borderId="26" xfId="0" applyNumberFormat="1" applyFont="1" applyFill="1" applyBorder="1" applyAlignment="1">
      <alignment horizontal="center" vertical="center"/>
    </xf>
    <xf numFmtId="0" fontId="34" fillId="8" borderId="14" xfId="0" applyFont="1" applyFill="1" applyBorder="1" applyAlignment="1">
      <alignment horizontal="center" vertical="center"/>
    </xf>
    <xf numFmtId="0" fontId="39" fillId="9" borderId="14" xfId="0" applyFont="1" applyFill="1" applyBorder="1"/>
    <xf numFmtId="0" fontId="58" fillId="9" borderId="28" xfId="0" applyFont="1" applyFill="1" applyBorder="1"/>
    <xf numFmtId="0" fontId="58" fillId="9" borderId="25" xfId="0" applyFont="1" applyFill="1" applyBorder="1"/>
    <xf numFmtId="166" fontId="38" fillId="0" borderId="26" xfId="0" applyNumberFormat="1" applyFont="1" applyBorder="1" applyAlignment="1">
      <alignment horizontal="center" vertical="center"/>
    </xf>
    <xf numFmtId="0" fontId="39" fillId="0" borderId="14" xfId="0" applyFont="1" applyBorder="1"/>
    <xf numFmtId="0" fontId="58" fillId="0" borderId="23" xfId="0" applyFont="1" applyBorder="1"/>
    <xf numFmtId="166" fontId="38" fillId="0" borderId="14" xfId="0" applyNumberFormat="1" applyFont="1" applyBorder="1" applyAlignment="1">
      <alignment horizontal="center" vertical="center"/>
    </xf>
    <xf numFmtId="170" fontId="38" fillId="0" borderId="14" xfId="0" applyNumberFormat="1" applyFont="1" applyBorder="1" applyAlignment="1">
      <alignment horizontal="center" vertical="center"/>
    </xf>
    <xf numFmtId="171" fontId="38" fillId="0" borderId="14" xfId="0" applyNumberFormat="1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9" borderId="26" xfId="0" applyFont="1" applyFill="1" applyBorder="1" applyAlignment="1">
      <alignment horizontal="center" vertical="center"/>
    </xf>
    <xf numFmtId="0" fontId="38" fillId="9" borderId="14" xfId="0" applyFont="1" applyFill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166" fontId="45" fillId="0" borderId="20" xfId="0" applyNumberFormat="1" applyFont="1" applyBorder="1" applyAlignment="1">
      <alignment horizontal="center" vertical="center"/>
    </xf>
    <xf numFmtId="166" fontId="23" fillId="0" borderId="20" xfId="0" applyNumberFormat="1" applyFont="1" applyBorder="1" applyAlignment="1">
      <alignment horizontal="center" vertical="center"/>
    </xf>
    <xf numFmtId="166" fontId="23" fillId="14" borderId="20" xfId="0" applyNumberFormat="1" applyFont="1" applyFill="1" applyBorder="1" applyAlignment="1">
      <alignment horizontal="center" vertical="center"/>
    </xf>
    <xf numFmtId="166" fontId="38" fillId="14" borderId="20" xfId="0" applyNumberFormat="1" applyFont="1" applyFill="1" applyBorder="1" applyAlignment="1">
      <alignment horizontal="center" vertical="center"/>
    </xf>
    <xf numFmtId="3" fontId="23" fillId="8" borderId="26" xfId="0" applyNumberFormat="1" applyFont="1" applyFill="1" applyBorder="1" applyAlignment="1">
      <alignment horizontal="center" vertical="center"/>
    </xf>
    <xf numFmtId="0" fontId="23" fillId="8" borderId="14" xfId="0" applyFont="1" applyFill="1" applyBorder="1" applyAlignment="1">
      <alignment horizontal="center" vertical="center"/>
    </xf>
    <xf numFmtId="175" fontId="36" fillId="0" borderId="18" xfId="0" applyNumberFormat="1" applyFont="1" applyBorder="1" applyAlignment="1">
      <alignment horizontal="left" vertical="center" wrapText="1"/>
    </xf>
    <xf numFmtId="166" fontId="38" fillId="9" borderId="14" xfId="0" applyNumberFormat="1" applyFont="1" applyFill="1" applyBorder="1" applyAlignment="1">
      <alignment horizontal="center" vertical="center"/>
    </xf>
    <xf numFmtId="166" fontId="38" fillId="10" borderId="29" xfId="0" applyNumberFormat="1" applyFont="1" applyFill="1" applyBorder="1" applyAlignment="1">
      <alignment horizontal="center" vertical="center"/>
    </xf>
    <xf numFmtId="0" fontId="58" fillId="9" borderId="23" xfId="0" applyFont="1" applyFill="1" applyBorder="1"/>
    <xf numFmtId="0" fontId="58" fillId="9" borderId="20" xfId="0" applyFont="1" applyFill="1" applyBorder="1"/>
    <xf numFmtId="166" fontId="38" fillId="10" borderId="26" xfId="0" applyNumberFormat="1" applyFont="1" applyFill="1" applyBorder="1" applyAlignment="1">
      <alignment horizontal="center" vertical="center"/>
    </xf>
    <xf numFmtId="166" fontId="38" fillId="10" borderId="14" xfId="0" applyNumberFormat="1" applyFont="1" applyFill="1" applyBorder="1" applyAlignment="1">
      <alignment horizontal="center" vertical="center"/>
    </xf>
    <xf numFmtId="166" fontId="60" fillId="0" borderId="20" xfId="0" applyNumberFormat="1" applyFont="1" applyBorder="1" applyAlignment="1">
      <alignment horizontal="center" vertical="center"/>
    </xf>
    <xf numFmtId="3" fontId="31" fillId="8" borderId="26" xfId="0" applyNumberFormat="1" applyFont="1" applyFill="1" applyBorder="1" applyAlignment="1">
      <alignment horizontal="center" vertical="center"/>
    </xf>
    <xf numFmtId="0" fontId="31" fillId="8" borderId="14" xfId="0" applyFont="1" applyFill="1" applyBorder="1" applyAlignment="1">
      <alignment horizontal="center" vertical="center"/>
    </xf>
    <xf numFmtId="0" fontId="34" fillId="9" borderId="14" xfId="0" applyFont="1" applyFill="1" applyBorder="1" applyAlignment="1">
      <alignment horizontal="center" vertical="center"/>
    </xf>
    <xf numFmtId="170" fontId="38" fillId="10" borderId="23" xfId="0" applyNumberFormat="1" applyFont="1" applyFill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166" fontId="61" fillId="0" borderId="23" xfId="0" applyNumberFormat="1" applyFont="1" applyBorder="1" applyAlignment="1">
      <alignment horizontal="center" vertical="center"/>
    </xf>
    <xf numFmtId="166" fontId="62" fillId="0" borderId="23" xfId="0" applyNumberFormat="1" applyFont="1" applyBorder="1" applyAlignment="1">
      <alignment horizontal="center"/>
    </xf>
    <xf numFmtId="166" fontId="38" fillId="14" borderId="23" xfId="0" applyNumberFormat="1" applyFont="1" applyFill="1" applyBorder="1" applyAlignment="1">
      <alignment horizontal="center" vertical="center"/>
    </xf>
    <xf numFmtId="170" fontId="61" fillId="0" borderId="23" xfId="0" applyNumberFormat="1" applyFont="1" applyBorder="1" applyAlignment="1">
      <alignment horizontal="center" vertical="center"/>
    </xf>
    <xf numFmtId="170" fontId="62" fillId="0" borderId="23" xfId="0" applyNumberFormat="1" applyFont="1" applyBorder="1" applyAlignment="1">
      <alignment horizontal="center"/>
    </xf>
    <xf numFmtId="170" fontId="38" fillId="14" borderId="23" xfId="0" applyNumberFormat="1" applyFont="1" applyFill="1" applyBorder="1" applyAlignment="1">
      <alignment horizontal="center" vertical="center"/>
    </xf>
    <xf numFmtId="166" fontId="38" fillId="15" borderId="29" xfId="0" applyNumberFormat="1" applyFont="1" applyFill="1" applyBorder="1" applyAlignment="1">
      <alignment horizontal="center" vertical="center"/>
    </xf>
    <xf numFmtId="170" fontId="60" fillId="0" borderId="20" xfId="0" applyNumberFormat="1" applyFont="1" applyBorder="1" applyAlignment="1">
      <alignment horizontal="center" vertical="center"/>
    </xf>
    <xf numFmtId="170" fontId="45" fillId="0" borderId="20" xfId="0" applyNumberFormat="1" applyFont="1" applyBorder="1" applyAlignment="1">
      <alignment horizontal="center" vertical="center"/>
    </xf>
    <xf numFmtId="165" fontId="34" fillId="9" borderId="14" xfId="0" applyNumberFormat="1" applyFont="1" applyFill="1" applyBorder="1" applyAlignment="1">
      <alignment horizontal="center" vertical="center"/>
    </xf>
    <xf numFmtId="166" fontId="60" fillId="0" borderId="23" xfId="0" applyNumberFormat="1" applyFont="1" applyBorder="1" applyAlignment="1">
      <alignment horizontal="center" vertical="center"/>
    </xf>
    <xf numFmtId="170" fontId="60" fillId="0" borderId="23" xfId="0" applyNumberFormat="1" applyFont="1" applyBorder="1" applyAlignment="1">
      <alignment horizontal="center" vertical="center"/>
    </xf>
    <xf numFmtId="166" fontId="63" fillId="0" borderId="23" xfId="0" applyNumberFormat="1" applyFont="1" applyBorder="1" applyAlignment="1">
      <alignment horizontal="center"/>
    </xf>
    <xf numFmtId="166" fontId="45" fillId="0" borderId="23" xfId="0" applyNumberFormat="1" applyFont="1" applyBorder="1" applyAlignment="1">
      <alignment horizontal="center" vertical="center"/>
    </xf>
    <xf numFmtId="9" fontId="34" fillId="9" borderId="26" xfId="0" applyNumberFormat="1" applyFont="1" applyFill="1" applyBorder="1" applyAlignment="1">
      <alignment horizontal="center" vertical="center"/>
    </xf>
    <xf numFmtId="9" fontId="34" fillId="9" borderId="14" xfId="0" applyNumberFormat="1" applyFont="1" applyFill="1" applyBorder="1" applyAlignment="1">
      <alignment horizontal="center" vertical="center"/>
    </xf>
    <xf numFmtId="173" fontId="36" fillId="9" borderId="14" xfId="0" applyNumberFormat="1" applyFont="1" applyFill="1" applyBorder="1" applyAlignment="1">
      <alignment horizontal="left" vertical="center" wrapText="1"/>
    </xf>
    <xf numFmtId="166" fontId="65" fillId="0" borderId="20" xfId="0" applyNumberFormat="1" applyFont="1" applyBorder="1" applyAlignment="1">
      <alignment horizontal="center"/>
    </xf>
    <xf numFmtId="166" fontId="62" fillId="0" borderId="20" xfId="0" applyNumberFormat="1" applyFont="1" applyBorder="1" applyAlignment="1">
      <alignment horizontal="center"/>
    </xf>
    <xf numFmtId="170" fontId="65" fillId="0" borderId="23" xfId="0" applyNumberFormat="1" applyFont="1" applyBorder="1" applyAlignment="1">
      <alignment horizontal="center"/>
    </xf>
    <xf numFmtId="166" fontId="58" fillId="0" borderId="20" xfId="0" applyNumberFormat="1" applyFont="1" applyBorder="1"/>
    <xf numFmtId="166" fontId="39" fillId="0" borderId="23" xfId="0" applyNumberFormat="1" applyFont="1" applyBorder="1"/>
    <xf numFmtId="166" fontId="39" fillId="0" borderId="20" xfId="0" applyNumberFormat="1" applyFont="1" applyBorder="1"/>
    <xf numFmtId="166" fontId="38" fillId="0" borderId="28" xfId="0" applyNumberFormat="1" applyFont="1" applyBorder="1" applyAlignment="1">
      <alignment horizontal="center" vertical="center"/>
    </xf>
    <xf numFmtId="166" fontId="45" fillId="0" borderId="28" xfId="0" applyNumberFormat="1" applyFont="1" applyBorder="1" applyAlignment="1">
      <alignment horizontal="center" vertical="center"/>
    </xf>
    <xf numFmtId="0" fontId="31" fillId="4" borderId="26" xfId="0" applyFont="1" applyFill="1" applyBorder="1" applyAlignment="1">
      <alignment vertical="center" wrapText="1"/>
    </xf>
    <xf numFmtId="0" fontId="31" fillId="4" borderId="14" xfId="0" applyFont="1" applyFill="1" applyBorder="1" applyAlignment="1">
      <alignment vertical="center" wrapText="1"/>
    </xf>
    <xf numFmtId="166" fontId="23" fillId="9" borderId="23" xfId="0" applyNumberFormat="1" applyFont="1" applyFill="1" applyBorder="1" applyAlignment="1">
      <alignment horizontal="center" vertical="center"/>
    </xf>
    <xf numFmtId="166" fontId="66" fillId="4" borderId="0" xfId="0" applyNumberFormat="1" applyFont="1" applyFill="1" applyAlignment="1">
      <alignment horizontal="center"/>
    </xf>
    <xf numFmtId="166" fontId="23" fillId="9" borderId="28" xfId="0" applyNumberFormat="1" applyFont="1" applyFill="1" applyBorder="1" applyAlignment="1">
      <alignment horizontal="center" vertical="center"/>
    </xf>
    <xf numFmtId="166" fontId="62" fillId="9" borderId="25" xfId="0" applyNumberFormat="1" applyFont="1" applyFill="1" applyBorder="1" applyAlignment="1">
      <alignment horizontal="center"/>
    </xf>
    <xf numFmtId="166" fontId="39" fillId="9" borderId="25" xfId="0" applyNumberFormat="1" applyFont="1" applyFill="1" applyBorder="1"/>
    <xf numFmtId="166" fontId="45" fillId="9" borderId="25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4" fillId="2" borderId="0" xfId="0" applyFont="1" applyFill="1" applyAlignment="1">
      <alignment horizontal="left" vertical="center"/>
    </xf>
    <xf numFmtId="0" fontId="68" fillId="2" borderId="0" xfId="0" applyFont="1" applyFill="1" applyAlignment="1">
      <alignment vertical="center"/>
    </xf>
    <xf numFmtId="3" fontId="20" fillId="2" borderId="0" xfId="0" applyNumberFormat="1" applyFont="1" applyFill="1" applyAlignment="1">
      <alignment vertical="center"/>
    </xf>
    <xf numFmtId="3" fontId="20" fillId="0" borderId="0" xfId="0" applyNumberFormat="1" applyFont="1" applyAlignment="1">
      <alignment vertical="center"/>
    </xf>
    <xf numFmtId="0" fontId="69" fillId="0" borderId="14" xfId="0" applyFont="1" applyBorder="1" applyAlignment="1">
      <alignment horizontal="center"/>
    </xf>
    <xf numFmtId="166" fontId="23" fillId="10" borderId="20" xfId="0" applyNumberFormat="1" applyFont="1" applyFill="1" applyBorder="1" applyAlignment="1">
      <alignment horizontal="center" vertical="center"/>
    </xf>
    <xf numFmtId="166" fontId="23" fillId="10" borderId="23" xfId="0" applyNumberFormat="1" applyFont="1" applyFill="1" applyBorder="1" applyAlignment="1">
      <alignment horizontal="center" vertical="center"/>
    </xf>
    <xf numFmtId="166" fontId="35" fillId="0" borderId="20" xfId="0" applyNumberFormat="1" applyFont="1" applyBorder="1" applyAlignment="1">
      <alignment horizontal="center" vertical="center"/>
    </xf>
    <xf numFmtId="166" fontId="20" fillId="0" borderId="20" xfId="0" applyNumberFormat="1" applyFont="1" applyBorder="1" applyAlignment="1">
      <alignment horizontal="center" vertical="center"/>
    </xf>
    <xf numFmtId="166" fontId="61" fillId="0" borderId="20" xfId="0" applyNumberFormat="1" applyFont="1" applyBorder="1" applyAlignment="1">
      <alignment horizontal="center" vertical="center"/>
    </xf>
    <xf numFmtId="166" fontId="38" fillId="16" borderId="20" xfId="0" applyNumberFormat="1" applyFont="1" applyFill="1" applyBorder="1" applyAlignment="1">
      <alignment horizontal="center" vertical="center"/>
    </xf>
    <xf numFmtId="166" fontId="38" fillId="16" borderId="26" xfId="0" applyNumberFormat="1" applyFont="1" applyFill="1" applyBorder="1" applyAlignment="1">
      <alignment horizontal="center" vertical="center"/>
    </xf>
    <xf numFmtId="166" fontId="38" fillId="16" borderId="14" xfId="0" applyNumberFormat="1" applyFont="1" applyFill="1" applyBorder="1" applyAlignment="1">
      <alignment horizontal="center" vertical="center"/>
    </xf>
    <xf numFmtId="166" fontId="38" fillId="16" borderId="23" xfId="0" applyNumberFormat="1" applyFont="1" applyFill="1" applyBorder="1" applyAlignment="1">
      <alignment horizontal="center" vertical="center"/>
    </xf>
    <xf numFmtId="166" fontId="58" fillId="10" borderId="0" xfId="0" applyNumberFormat="1" applyFont="1" applyFill="1" applyAlignment="1">
      <alignment horizontal="center"/>
    </xf>
    <xf numFmtId="166" fontId="35" fillId="16" borderId="20" xfId="0" applyNumberFormat="1" applyFont="1" applyFill="1" applyBorder="1" applyAlignment="1">
      <alignment horizontal="center" vertical="center"/>
    </xf>
    <xf numFmtId="166" fontId="23" fillId="10" borderId="25" xfId="0" applyNumberFormat="1" applyFont="1" applyFill="1" applyBorder="1" applyAlignment="1">
      <alignment horizontal="center" vertical="center"/>
    </xf>
    <xf numFmtId="170" fontId="23" fillId="0" borderId="23" xfId="0" applyNumberFormat="1" applyFont="1" applyBorder="1" applyAlignment="1">
      <alignment horizontal="center" vertical="center"/>
    </xf>
    <xf numFmtId="166" fontId="38" fillId="17" borderId="20" xfId="0" applyNumberFormat="1" applyFont="1" applyFill="1" applyBorder="1" applyAlignment="1">
      <alignment horizontal="center" vertical="center"/>
    </xf>
    <xf numFmtId="166" fontId="45" fillId="17" borderId="20" xfId="0" applyNumberFormat="1" applyFont="1" applyFill="1" applyBorder="1" applyAlignment="1">
      <alignment horizontal="center" vertical="center"/>
    </xf>
    <xf numFmtId="170" fontId="38" fillId="17" borderId="14" xfId="0" applyNumberFormat="1" applyFont="1" applyFill="1" applyBorder="1" applyAlignment="1">
      <alignment horizontal="center" vertical="center"/>
    </xf>
    <xf numFmtId="170" fontId="38" fillId="17" borderId="23" xfId="0" applyNumberFormat="1" applyFont="1" applyFill="1" applyBorder="1" applyAlignment="1">
      <alignment horizontal="center" vertical="center"/>
    </xf>
    <xf numFmtId="170" fontId="38" fillId="17" borderId="20" xfId="0" applyNumberFormat="1" applyFont="1" applyFill="1" applyBorder="1" applyAlignment="1">
      <alignment horizontal="center" vertical="center"/>
    </xf>
    <xf numFmtId="170" fontId="35" fillId="0" borderId="20" xfId="0" applyNumberFormat="1" applyFont="1" applyBorder="1" applyAlignment="1">
      <alignment horizontal="center" vertical="center"/>
    </xf>
    <xf numFmtId="166" fontId="65" fillId="16" borderId="23" xfId="0" applyNumberFormat="1" applyFont="1" applyFill="1" applyBorder="1" applyAlignment="1">
      <alignment horizontal="center"/>
    </xf>
    <xf numFmtId="166" fontId="65" fillId="0" borderId="23" xfId="0" applyNumberFormat="1" applyFont="1" applyBorder="1" applyAlignment="1">
      <alignment horizontal="center"/>
    </xf>
    <xf numFmtId="170" fontId="45" fillId="0" borderId="23" xfId="0" applyNumberFormat="1" applyFont="1" applyBorder="1" applyAlignment="1">
      <alignment horizontal="center" vertical="center"/>
    </xf>
    <xf numFmtId="166" fontId="23" fillId="10" borderId="14" xfId="0" applyNumberFormat="1" applyFont="1" applyFill="1" applyBorder="1" applyAlignment="1">
      <alignment horizontal="center" vertical="center"/>
    </xf>
    <xf numFmtId="166" fontId="35" fillId="0" borderId="23" xfId="0" applyNumberFormat="1" applyFont="1" applyBorder="1" applyAlignment="1">
      <alignment horizontal="center" vertical="center"/>
    </xf>
    <xf numFmtId="172" fontId="44" fillId="0" borderId="18" xfId="0" applyNumberFormat="1" applyFont="1" applyBorder="1" applyAlignment="1">
      <alignment horizontal="left" vertical="center" wrapText="1"/>
    </xf>
    <xf numFmtId="166" fontId="35" fillId="0" borderId="25" xfId="0" applyNumberFormat="1" applyFont="1" applyBorder="1" applyAlignment="1">
      <alignment horizontal="center" vertical="center"/>
    </xf>
    <xf numFmtId="0" fontId="70" fillId="4" borderId="0" xfId="0" applyFont="1" applyFill="1" applyAlignment="1">
      <alignment vertical="center" wrapText="1"/>
    </xf>
    <xf numFmtId="166" fontId="71" fillId="0" borderId="40" xfId="0" applyNumberFormat="1" applyFont="1" applyBorder="1" applyAlignment="1">
      <alignment horizontal="center"/>
    </xf>
    <xf numFmtId="166" fontId="35" fillId="9" borderId="23" xfId="0" applyNumberFormat="1" applyFont="1" applyFill="1" applyBorder="1" applyAlignment="1">
      <alignment horizontal="center" vertical="center"/>
    </xf>
    <xf numFmtId="177" fontId="49" fillId="0" borderId="0" xfId="0" applyNumberFormat="1" applyFont="1"/>
    <xf numFmtId="166" fontId="53" fillId="10" borderId="33" xfId="0" applyNumberFormat="1" applyFont="1" applyFill="1" applyBorder="1" applyAlignment="1">
      <alignment horizontal="center" vertical="center"/>
    </xf>
    <xf numFmtId="0" fontId="74" fillId="0" borderId="0" xfId="0" applyFont="1"/>
    <xf numFmtId="166" fontId="75" fillId="0" borderId="20" xfId="0" applyNumberFormat="1" applyFont="1" applyBorder="1" applyAlignment="1">
      <alignment horizontal="center" vertical="center"/>
    </xf>
    <xf numFmtId="166" fontId="22" fillId="0" borderId="20" xfId="0" applyNumberFormat="1" applyFont="1" applyBorder="1" applyAlignment="1">
      <alignment horizontal="center" vertical="center"/>
    </xf>
    <xf numFmtId="166" fontId="75" fillId="0" borderId="23" xfId="0" applyNumberFormat="1" applyFont="1" applyBorder="1" applyAlignment="1">
      <alignment horizontal="center" vertical="center"/>
    </xf>
    <xf numFmtId="170" fontId="75" fillId="0" borderId="23" xfId="0" applyNumberFormat="1" applyFont="1" applyBorder="1" applyAlignment="1">
      <alignment horizontal="center" vertical="center"/>
    </xf>
    <xf numFmtId="166" fontId="76" fillId="0" borderId="20" xfId="0" applyNumberFormat="1" applyFont="1" applyBorder="1" applyAlignment="1">
      <alignment horizontal="center" vertical="center"/>
    </xf>
    <xf numFmtId="170" fontId="76" fillId="0" borderId="20" xfId="0" applyNumberFormat="1" applyFont="1" applyBorder="1" applyAlignment="1">
      <alignment horizontal="center" vertical="center"/>
    </xf>
    <xf numFmtId="166" fontId="76" fillId="9" borderId="23" xfId="0" applyNumberFormat="1" applyFont="1" applyFill="1" applyBorder="1" applyAlignment="1">
      <alignment horizontal="center" vertical="center"/>
    </xf>
    <xf numFmtId="166" fontId="76" fillId="9" borderId="25" xfId="0" applyNumberFormat="1" applyFont="1" applyFill="1" applyBorder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166" fontId="38" fillId="9" borderId="0" xfId="0" applyNumberFormat="1" applyFont="1" applyFill="1" applyAlignment="1">
      <alignment horizontal="center" vertical="center"/>
    </xf>
    <xf numFmtId="166" fontId="38" fillId="0" borderId="0" xfId="0" applyNumberFormat="1" applyFont="1" applyAlignment="1">
      <alignment horizontal="center" vertical="center"/>
    </xf>
    <xf numFmtId="0" fontId="38" fillId="9" borderId="0" xfId="0" applyFont="1" applyFill="1" applyAlignment="1">
      <alignment horizontal="center" vertical="center"/>
    </xf>
    <xf numFmtId="0" fontId="39" fillId="9" borderId="0" xfId="0" applyFont="1" applyFill="1" applyAlignment="1">
      <alignment horizontal="center"/>
    </xf>
    <xf numFmtId="166" fontId="38" fillId="18" borderId="23" xfId="0" applyNumberFormat="1" applyFont="1" applyFill="1" applyBorder="1" applyAlignment="1">
      <alignment horizontal="center" vertical="center"/>
    </xf>
    <xf numFmtId="170" fontId="38" fillId="18" borderId="23" xfId="0" applyNumberFormat="1" applyFont="1" applyFill="1" applyBorder="1" applyAlignment="1">
      <alignment horizontal="center" vertical="center"/>
    </xf>
    <xf numFmtId="166" fontId="38" fillId="18" borderId="20" xfId="0" applyNumberFormat="1" applyFont="1" applyFill="1" applyBorder="1" applyAlignment="1">
      <alignment horizontal="center" vertical="center"/>
    </xf>
    <xf numFmtId="170" fontId="60" fillId="18" borderId="20" xfId="0" applyNumberFormat="1" applyFont="1" applyFill="1" applyBorder="1" applyAlignment="1">
      <alignment horizontal="center" vertical="center"/>
    </xf>
    <xf numFmtId="166" fontId="60" fillId="18" borderId="23" xfId="0" applyNumberFormat="1" applyFont="1" applyFill="1" applyBorder="1" applyAlignment="1">
      <alignment horizontal="center" vertical="center"/>
    </xf>
    <xf numFmtId="170" fontId="60" fillId="18" borderId="23" xfId="0" applyNumberFormat="1" applyFont="1" applyFill="1" applyBorder="1" applyAlignment="1">
      <alignment horizontal="center" vertical="center"/>
    </xf>
    <xf numFmtId="166" fontId="45" fillId="0" borderId="26" xfId="0" applyNumberFormat="1" applyFont="1" applyBorder="1" applyAlignment="1">
      <alignment horizontal="center" vertical="center"/>
    </xf>
    <xf numFmtId="0" fontId="33" fillId="4" borderId="0" xfId="0" applyFont="1" applyFill="1" applyAlignment="1">
      <alignment horizontal="center" vertical="center" wrapText="1"/>
    </xf>
    <xf numFmtId="166" fontId="62" fillId="9" borderId="0" xfId="0" applyNumberFormat="1" applyFont="1" applyFill="1" applyAlignment="1">
      <alignment horizontal="center"/>
    </xf>
    <xf numFmtId="0" fontId="21" fillId="0" borderId="4" xfId="0" applyFont="1" applyBorder="1" applyAlignment="1">
      <alignment horizontal="left" vertical="center"/>
    </xf>
    <xf numFmtId="0" fontId="7" fillId="0" borderId="5" xfId="0" applyFont="1" applyBorder="1"/>
    <xf numFmtId="0" fontId="43" fillId="0" borderId="4" xfId="0" applyFont="1" applyBorder="1" applyAlignment="1">
      <alignment horizontal="left" vertical="center"/>
    </xf>
    <xf numFmtId="0" fontId="37" fillId="0" borderId="4" xfId="0" applyFont="1" applyBorder="1" applyAlignment="1">
      <alignment horizontal="left" vertical="center"/>
    </xf>
    <xf numFmtId="0" fontId="46" fillId="0" borderId="4" xfId="0" applyFont="1" applyBorder="1" applyAlignment="1">
      <alignment horizontal="left" vertical="center"/>
    </xf>
    <xf numFmtId="0" fontId="6" fillId="2" borderId="1" xfId="0" applyFont="1" applyFill="1" applyBorder="1" applyAlignment="1">
      <alignment vertical="top"/>
    </xf>
    <xf numFmtId="0" fontId="7" fillId="0" borderId="1" xfId="0" applyFont="1" applyBorder="1"/>
    <xf numFmtId="0" fontId="8" fillId="2" borderId="0" xfId="0" applyFont="1" applyFill="1" applyAlignment="1">
      <alignment vertical="center"/>
    </xf>
    <xf numFmtId="0" fontId="0" fillId="0" borderId="0" xfId="0"/>
    <xf numFmtId="0" fontId="9" fillId="2" borderId="0" xfId="0" applyFont="1" applyFill="1" applyAlignment="1">
      <alignment vertical="center" wrapText="1"/>
    </xf>
    <xf numFmtId="0" fontId="14" fillId="0" borderId="2" xfId="0" applyFont="1" applyBorder="1" applyAlignment="1">
      <alignment horizontal="left" vertical="center"/>
    </xf>
    <xf numFmtId="0" fontId="7" fillId="0" borderId="3" xfId="0" applyFont="1" applyBorder="1"/>
    <xf numFmtId="0" fontId="19" fillId="2" borderId="0" xfId="0" applyFont="1" applyFill="1" applyAlignment="1">
      <alignment horizontal="left" vertical="center"/>
    </xf>
    <xf numFmtId="0" fontId="18" fillId="0" borderId="0" xfId="0" applyFont="1" applyAlignment="1">
      <alignment vertical="center"/>
    </xf>
    <xf numFmtId="164" fontId="19" fillId="2" borderId="0" xfId="0" applyNumberFormat="1" applyFont="1" applyFill="1" applyAlignment="1">
      <alignment horizontal="left" vertical="center"/>
    </xf>
    <xf numFmtId="0" fontId="24" fillId="3" borderId="6" xfId="0" applyFont="1" applyFill="1" applyBorder="1" applyAlignment="1">
      <alignment horizontal="center" vertical="center" wrapText="1"/>
    </xf>
    <xf numFmtId="0" fontId="7" fillId="0" borderId="13" xfId="0" applyFont="1" applyBorder="1"/>
    <xf numFmtId="165" fontId="25" fillId="4" borderId="7" xfId="0" applyNumberFormat="1" applyFont="1" applyFill="1" applyBorder="1" applyAlignment="1">
      <alignment horizontal="center" vertical="center"/>
    </xf>
    <xf numFmtId="0" fontId="7" fillId="0" borderId="8" xfId="0" applyFont="1" applyBorder="1"/>
    <xf numFmtId="0" fontId="7" fillId="0" borderId="9" xfId="0" applyFont="1" applyBorder="1"/>
    <xf numFmtId="0" fontId="26" fillId="5" borderId="10" xfId="0" applyFont="1" applyFill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26" fillId="4" borderId="7" xfId="0" applyFont="1" applyFill="1" applyBorder="1" applyAlignment="1">
      <alignment horizontal="center"/>
    </xf>
    <xf numFmtId="0" fontId="26" fillId="5" borderId="7" xfId="0" applyFont="1" applyFill="1" applyBorder="1" applyAlignment="1">
      <alignment horizontal="center"/>
    </xf>
    <xf numFmtId="0" fontId="25" fillId="6" borderId="7" xfId="0" applyFont="1" applyFill="1" applyBorder="1" applyAlignment="1">
      <alignment horizontal="center" vertical="center"/>
    </xf>
    <xf numFmtId="0" fontId="25" fillId="7" borderId="7" xfId="0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24" fillId="3" borderId="0" xfId="0" applyFont="1" applyFill="1" applyAlignment="1">
      <alignment horizontal="center" vertical="center" wrapText="1"/>
    </xf>
    <xf numFmtId="0" fontId="41" fillId="0" borderId="2" xfId="0" applyFont="1" applyBorder="1"/>
    <xf numFmtId="0" fontId="37" fillId="0" borderId="18" xfId="0" applyFont="1" applyBorder="1" applyAlignment="1">
      <alignment horizontal="left" vertical="center" wrapText="1"/>
    </xf>
    <xf numFmtId="0" fontId="7" fillId="0" borderId="18" xfId="0" applyFont="1" applyBorder="1"/>
    <xf numFmtId="166" fontId="55" fillId="0" borderId="34" xfId="0" applyNumberFormat="1" applyFont="1" applyBorder="1" applyAlignment="1">
      <alignment horizontal="center" vertical="center"/>
    </xf>
    <xf numFmtId="0" fontId="7" fillId="0" borderId="36" xfId="0" applyFont="1" applyBorder="1"/>
    <xf numFmtId="174" fontId="55" fillId="0" borderId="34" xfId="0" applyNumberFormat="1" applyFont="1" applyBorder="1" applyAlignment="1">
      <alignment horizontal="center" vertical="center"/>
    </xf>
    <xf numFmtId="0" fontId="48" fillId="4" borderId="0" xfId="0" applyFont="1" applyFill="1" applyAlignment="1">
      <alignment horizontal="center" vertical="center"/>
    </xf>
    <xf numFmtId="0" fontId="7" fillId="0" borderId="35" xfId="0" applyFont="1" applyBorder="1"/>
    <xf numFmtId="0" fontId="64" fillId="0" borderId="4" xfId="0" applyFont="1" applyBorder="1"/>
    <xf numFmtId="0" fontId="59" fillId="0" borderId="2" xfId="0" applyFont="1" applyBorder="1"/>
    <xf numFmtId="0" fontId="7" fillId="0" borderId="38" xfId="0" applyFont="1" applyBorder="1"/>
    <xf numFmtId="0" fontId="7" fillId="0" borderId="39" xfId="0" applyFont="1" applyBorder="1"/>
    <xf numFmtId="174" fontId="55" fillId="6" borderId="34" xfId="0" applyNumberFormat="1" applyFont="1" applyFill="1" applyBorder="1" applyAlignment="1">
      <alignment horizontal="center" vertical="center"/>
    </xf>
    <xf numFmtId="0" fontId="72" fillId="4" borderId="0" xfId="0" applyFont="1" applyFill="1" applyAlignment="1">
      <alignment horizontal="center" vertical="center"/>
    </xf>
    <xf numFmtId="176" fontId="67" fillId="2" borderId="37" xfId="0" applyNumberFormat="1" applyFont="1" applyFill="1" applyBorder="1" applyAlignment="1">
      <alignment horizontal="center" vertical="center"/>
    </xf>
    <xf numFmtId="174" fontId="73" fillId="0" borderId="34" xfId="0" applyNumberFormat="1" applyFont="1" applyBorder="1" applyAlignment="1">
      <alignment horizontal="center" vertical="center"/>
    </xf>
    <xf numFmtId="176" fontId="67" fillId="2" borderId="41" xfId="0" applyNumberFormat="1" applyFont="1" applyFill="1" applyBorder="1" applyAlignment="1">
      <alignment horizontal="center" vertical="center"/>
    </xf>
    <xf numFmtId="0" fontId="67" fillId="2" borderId="41" xfId="0" applyFont="1" applyFill="1" applyBorder="1" applyAlignment="1">
      <alignment horizontal="left" vertical="center"/>
    </xf>
    <xf numFmtId="0" fontId="67" fillId="2" borderId="42" xfId="0" applyFont="1" applyFill="1" applyBorder="1" applyAlignment="1">
      <alignment horizontal="center" vertical="center"/>
    </xf>
    <xf numFmtId="0" fontId="67" fillId="2" borderId="43" xfId="0" applyFont="1" applyFill="1" applyBorder="1" applyAlignment="1">
      <alignment horizontal="center" vertical="center"/>
    </xf>
    <xf numFmtId="176" fontId="67" fillId="2" borderId="43" xfId="0" applyNumberFormat="1" applyFont="1" applyFill="1" applyBorder="1" applyAlignment="1">
      <alignment horizontal="center" vertical="center"/>
    </xf>
    <xf numFmtId="176" fontId="67" fillId="2" borderId="44" xfId="0" applyNumberFormat="1" applyFont="1" applyFill="1" applyBorder="1" applyAlignment="1">
      <alignment horizontal="center" vertical="center"/>
    </xf>
    <xf numFmtId="0" fontId="67" fillId="2" borderId="45" xfId="0" applyFont="1" applyFill="1" applyBorder="1" applyAlignment="1">
      <alignment horizontal="left" vertical="center"/>
    </xf>
    <xf numFmtId="176" fontId="67" fillId="2" borderId="46" xfId="0" applyNumberFormat="1" applyFont="1" applyFill="1" applyBorder="1" applyAlignment="1">
      <alignment horizontal="center" vertical="center"/>
    </xf>
    <xf numFmtId="176" fontId="67" fillId="2" borderId="47" xfId="0" applyNumberFormat="1" applyFont="1" applyFill="1" applyBorder="1" applyAlignment="1">
      <alignment horizontal="center" vertical="center"/>
    </xf>
    <xf numFmtId="176" fontId="67" fillId="2" borderId="48" xfId="0" applyNumberFormat="1" applyFont="1" applyFill="1" applyBorder="1" applyAlignment="1">
      <alignment horizontal="center" vertical="center"/>
    </xf>
    <xf numFmtId="0" fontId="67" fillId="2" borderId="49" xfId="0" applyFont="1" applyFill="1" applyBorder="1" applyAlignment="1">
      <alignment horizontal="left" vertical="center"/>
    </xf>
    <xf numFmtId="0" fontId="67" fillId="2" borderId="50" xfId="0" applyFont="1" applyFill="1" applyBorder="1" applyAlignment="1">
      <alignment horizontal="left" vertical="center"/>
    </xf>
    <xf numFmtId="0" fontId="67" fillId="2" borderId="51" xfId="0" applyFont="1" applyFill="1" applyBorder="1" applyAlignment="1">
      <alignment horizontal="left" vertical="center"/>
    </xf>
    <xf numFmtId="0" fontId="67" fillId="2" borderId="42" xfId="0" applyFont="1" applyFill="1" applyBorder="1" applyAlignment="1">
      <alignment horizontal="left" vertical="center"/>
    </xf>
    <xf numFmtId="0" fontId="67" fillId="2" borderId="43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8761D"/>
    <outlinePr summaryBelow="0" summaryRight="0"/>
  </sheetPr>
  <dimension ref="A2:J12"/>
  <sheetViews>
    <sheetView workbookViewId="0"/>
  </sheetViews>
  <sheetFormatPr defaultColWidth="12.6328125" defaultRowHeight="15.75" customHeight="1"/>
  <cols>
    <col min="1" max="1" width="22.90625" customWidth="1"/>
    <col min="2" max="5" width="19.7265625" customWidth="1"/>
    <col min="6" max="6" width="22.08984375" customWidth="1"/>
    <col min="8" max="8" width="35.08984375" customWidth="1"/>
    <col min="9" max="9" width="24.36328125" customWidth="1"/>
    <col min="10" max="10" width="23.36328125" customWidth="1"/>
  </cols>
  <sheetData>
    <row r="2" spans="1:10" ht="25.5" customHeight="1">
      <c r="B2" s="364" t="s">
        <v>119</v>
      </c>
      <c r="C2" s="337"/>
      <c r="D2" s="337"/>
      <c r="E2" s="337"/>
      <c r="F2" s="187" t="s">
        <v>120</v>
      </c>
      <c r="H2" s="364" t="s">
        <v>121</v>
      </c>
      <c r="I2" s="337"/>
      <c r="J2" s="337"/>
    </row>
    <row r="3" spans="1:10" ht="25.5" customHeight="1">
      <c r="B3" s="188" t="s">
        <v>122</v>
      </c>
      <c r="C3" s="188" t="s">
        <v>123</v>
      </c>
      <c r="D3" s="189" t="s">
        <v>124</v>
      </c>
      <c r="E3" s="189" t="s">
        <v>125</v>
      </c>
      <c r="H3" s="190" t="s">
        <v>126</v>
      </c>
      <c r="I3" s="190" t="s">
        <v>127</v>
      </c>
      <c r="J3" s="190" t="s">
        <v>128</v>
      </c>
    </row>
    <row r="4" spans="1:10" ht="25.5" customHeight="1">
      <c r="B4" s="191" t="e">
        <f>#REF!+#REF!+#REF!</f>
        <v>#REF!</v>
      </c>
      <c r="C4" s="191" t="e">
        <f>#REF!+#REF!+#REF!</f>
        <v>#REF!</v>
      </c>
      <c r="D4" s="192" t="e">
        <f>#REF!+#REF!+#REF!</f>
        <v>#REF!</v>
      </c>
      <c r="E4" s="192" t="e">
        <f>#REF!+#REF!+#REF!</f>
        <v>#REF!</v>
      </c>
      <c r="H4" s="193" t="s">
        <v>32</v>
      </c>
      <c r="I4" s="192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J4" s="194" t="e">
        <f t="shared" ref="J4:J9" si="0">I4/$I$10</f>
        <v>#REF!</v>
      </c>
    </row>
    <row r="5" spans="1:10" ht="25.5" customHeight="1">
      <c r="A5" s="193" t="s">
        <v>129</v>
      </c>
      <c r="B5" s="361" t="e">
        <f>B4+C4+D4+E4</f>
        <v>#REF!</v>
      </c>
      <c r="C5" s="365"/>
      <c r="D5" s="365"/>
      <c r="E5" s="362"/>
      <c r="H5" s="193" t="s">
        <v>33</v>
      </c>
      <c r="I5" s="192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J5" s="194" t="e">
        <f t="shared" si="0"/>
        <v>#REF!</v>
      </c>
    </row>
    <row r="6" spans="1:10" ht="25.5" customHeight="1">
      <c r="A6" s="193" t="s">
        <v>130</v>
      </c>
      <c r="B6" s="363" t="e">
        <f>B5*1.95583</f>
        <v>#REF!</v>
      </c>
      <c r="C6" s="365"/>
      <c r="D6" s="365"/>
      <c r="E6" s="362"/>
      <c r="H6" s="193" t="s">
        <v>34</v>
      </c>
      <c r="I6" s="192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J6" s="194" t="e">
        <f t="shared" si="0"/>
        <v>#REF!</v>
      </c>
    </row>
    <row r="7" spans="1:10" ht="25.5" customHeight="1">
      <c r="A7" s="193" t="s">
        <v>131</v>
      </c>
      <c r="B7" s="363">
        <f>1363000+1000000</f>
        <v>2363000</v>
      </c>
      <c r="C7" s="365"/>
      <c r="D7" s="365"/>
      <c r="E7" s="362"/>
      <c r="H7" s="193" t="s">
        <v>85</v>
      </c>
      <c r="I7" s="192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J7" s="194" t="e">
        <f t="shared" si="0"/>
        <v>#REF!</v>
      </c>
    </row>
    <row r="8" spans="1:10" ht="25.5" customHeight="1">
      <c r="A8" s="193" t="s">
        <v>132</v>
      </c>
      <c r="B8" s="363" t="e">
        <f>B7-B6</f>
        <v>#REF!</v>
      </c>
      <c r="C8" s="365"/>
      <c r="D8" s="365"/>
      <c r="E8" s="362"/>
      <c r="F8" s="195" t="s">
        <v>133</v>
      </c>
      <c r="H8" s="193" t="s">
        <v>134</v>
      </c>
      <c r="I8" s="192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J8" s="194" t="e">
        <f t="shared" si="0"/>
        <v>#REF!</v>
      </c>
    </row>
    <row r="9" spans="1:10" ht="25.5" customHeight="1">
      <c r="H9" s="193" t="s">
        <v>135</v>
      </c>
      <c r="I9" s="192" t="e">
        <f>#REF!+#REF!+#REF!+#REF!+#REF!+#REF!+#REF!+#REF!+#REF!+#REF!+#REF!+#REF!+#REF!+#REF!+#REF!+#REF!+#REF!+#REF!+#REF!+#REF!+#REF!+#REF!+#REF!+#REF!+#REF!+#REF!+#REF!+#REF!+#REF!+#REF!+#REF!+#REF!+#REF!+#REF!+#REF!+#REF!+#REF!+#REF!+#REF!+#REF!+#REF!+#REF!+#REF!+#REF!+#REF!+#REF!</f>
        <v>#REF!</v>
      </c>
      <c r="J9" s="194" t="e">
        <f t="shared" si="0"/>
        <v>#REF!</v>
      </c>
    </row>
    <row r="10" spans="1:10" ht="27.75" customHeight="1">
      <c r="H10" s="193" t="s">
        <v>136</v>
      </c>
      <c r="I10" s="361" t="e">
        <f>SUM(I4:I9)</f>
        <v>#REF!</v>
      </c>
      <c r="J10" s="362"/>
    </row>
    <row r="11" spans="1:10" ht="27.75" customHeight="1">
      <c r="B11" s="364" t="s">
        <v>137</v>
      </c>
      <c r="C11" s="337"/>
      <c r="D11" s="337"/>
      <c r="E11" s="337"/>
      <c r="H11" s="193" t="s">
        <v>138</v>
      </c>
      <c r="I11" s="363" t="e">
        <f>I10*1.95583</f>
        <v>#REF!</v>
      </c>
      <c r="J11" s="362"/>
    </row>
    <row r="12" spans="1:10" ht="33" customHeight="1">
      <c r="B12" s="193" t="s">
        <v>139</v>
      </c>
      <c r="C12" s="196" t="e">
        <f>I4*1.95583</f>
        <v>#REF!</v>
      </c>
      <c r="D12" s="197" t="s">
        <v>140</v>
      </c>
      <c r="E12" s="196" t="e">
        <f>590000-C12</f>
        <v>#REF!</v>
      </c>
    </row>
  </sheetData>
  <mergeCells count="9">
    <mergeCell ref="I10:J10"/>
    <mergeCell ref="I11:J11"/>
    <mergeCell ref="B2:E2"/>
    <mergeCell ref="H2:J2"/>
    <mergeCell ref="B5:E5"/>
    <mergeCell ref="B6:E6"/>
    <mergeCell ref="B7:E7"/>
    <mergeCell ref="B8:E8"/>
    <mergeCell ref="B11:E11"/>
  </mergeCells>
  <pageMargins left="0.7" right="0.7" top="0.75" bottom="0.75" header="0.3" footer="0.3"/>
  <headerFooter>
    <oddHeader>&amp;R&amp;"Aptos"&amp;10&amp;K000000 Company Confidential&amp;1#_x000D_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  <outlinePr summaryBelow="0" summaryRight="0"/>
    <pageSetUpPr fitToPage="1"/>
  </sheetPr>
  <dimension ref="A1:W251"/>
  <sheetViews>
    <sheetView showGridLines="0" workbookViewId="0">
      <pane ySplit="9" topLeftCell="A10" activePane="bottomLeft" state="frozen"/>
      <selection pane="bottomLeft" activeCell="B11" sqref="B11"/>
    </sheetView>
  </sheetViews>
  <sheetFormatPr defaultColWidth="12.6328125" defaultRowHeight="15.75" customHeight="1" outlineLevelRow="2"/>
  <cols>
    <col min="1" max="1" width="2.7265625" customWidth="1"/>
    <col min="2" max="2" width="12.90625" customWidth="1"/>
    <col min="3" max="3" width="27.7265625" customWidth="1"/>
    <col min="4" max="4" width="21.36328125" customWidth="1"/>
    <col min="5" max="6" width="10.453125" customWidth="1"/>
    <col min="7" max="7" width="27.6328125" customWidth="1"/>
    <col min="8" max="19" width="10.26953125" customWidth="1"/>
    <col min="20" max="23" width="17.36328125" customWidth="1"/>
  </cols>
  <sheetData>
    <row r="1" spans="1:23" ht="9" customHeight="1">
      <c r="A1" s="1"/>
      <c r="B1" s="2"/>
      <c r="C1" s="3"/>
      <c r="D1" s="3"/>
      <c r="E1" s="3"/>
      <c r="F1" s="4"/>
      <c r="G1" s="3"/>
      <c r="H1" s="5"/>
      <c r="I1" s="6"/>
      <c r="J1" s="7"/>
      <c r="K1" s="8"/>
      <c r="L1" s="7"/>
      <c r="M1" s="7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8.25" customHeight="1">
      <c r="A2" s="1"/>
      <c r="B2" s="334" t="s">
        <v>0</v>
      </c>
      <c r="C2" s="335"/>
      <c r="D2" s="335"/>
      <c r="E2" s="335"/>
      <c r="F2" s="335"/>
      <c r="H2" s="336"/>
      <c r="I2" s="337"/>
      <c r="J2" s="337"/>
      <c r="K2" s="337"/>
      <c r="L2" s="337"/>
      <c r="M2" s="337"/>
      <c r="N2" s="338"/>
      <c r="O2" s="337"/>
      <c r="P2" s="337"/>
      <c r="Q2" s="337"/>
      <c r="R2" s="337"/>
      <c r="S2" s="337"/>
      <c r="T2" s="1"/>
      <c r="U2" s="1"/>
      <c r="V2" s="1"/>
      <c r="W2" s="1"/>
    </row>
    <row r="3" spans="1:23" ht="21" customHeight="1">
      <c r="A3" s="1"/>
      <c r="B3" s="9"/>
      <c r="C3" s="9"/>
      <c r="D3" s="10"/>
      <c r="E3" s="10"/>
      <c r="F3" s="10"/>
      <c r="G3" s="10"/>
      <c r="H3" s="11"/>
      <c r="I3" s="11"/>
      <c r="J3" s="11"/>
      <c r="K3" s="11"/>
      <c r="L3" s="12"/>
      <c r="M3" s="12"/>
      <c r="N3" s="12"/>
      <c r="O3" s="1"/>
      <c r="P3" s="1"/>
      <c r="Q3" s="1"/>
      <c r="R3" s="1"/>
      <c r="S3" s="1"/>
      <c r="T3" s="1"/>
      <c r="U3" s="1"/>
      <c r="V3" s="1"/>
      <c r="W3" s="1"/>
    </row>
    <row r="4" spans="1:23" ht="21" customHeight="1">
      <c r="A4" s="1"/>
      <c r="B4" s="339" t="s">
        <v>1</v>
      </c>
      <c r="C4" s="340"/>
      <c r="D4" s="13"/>
      <c r="E4" s="14" t="s">
        <v>2</v>
      </c>
      <c r="F4" s="13"/>
      <c r="G4" s="14"/>
      <c r="H4" s="15"/>
      <c r="I4" s="15"/>
      <c r="J4" s="15"/>
      <c r="K4" s="16"/>
      <c r="L4" s="16"/>
      <c r="M4" s="16"/>
      <c r="N4" s="16"/>
      <c r="O4" s="341"/>
      <c r="P4" s="337"/>
      <c r="Q4" s="337"/>
      <c r="R4" s="337"/>
      <c r="S4" s="337"/>
      <c r="T4" s="1"/>
      <c r="U4" s="1"/>
      <c r="V4" s="1"/>
      <c r="W4" s="1"/>
    </row>
    <row r="5" spans="1:23" ht="21" customHeight="1">
      <c r="A5" s="1"/>
      <c r="B5" s="356"/>
      <c r="C5" s="337"/>
      <c r="E5" s="342"/>
      <c r="F5" s="337"/>
      <c r="G5" s="17"/>
      <c r="H5" s="18"/>
      <c r="I5" s="18"/>
      <c r="J5" s="18"/>
      <c r="K5" s="16"/>
      <c r="L5" s="16"/>
      <c r="M5" s="16"/>
      <c r="N5" s="16"/>
      <c r="O5" s="343"/>
      <c r="P5" s="337"/>
      <c r="Q5" s="337"/>
      <c r="R5" s="337"/>
      <c r="S5" s="337"/>
      <c r="T5" s="1"/>
      <c r="U5" s="1"/>
      <c r="V5" s="1"/>
      <c r="W5" s="1"/>
    </row>
    <row r="6" spans="1:23" ht="21" customHeight="1">
      <c r="A6" s="19"/>
      <c r="B6" s="329" t="s">
        <v>3</v>
      </c>
      <c r="C6" s="330"/>
      <c r="E6" s="342"/>
      <c r="F6" s="337"/>
      <c r="G6" s="17"/>
      <c r="H6" s="18"/>
      <c r="I6" s="18"/>
      <c r="J6" s="18"/>
      <c r="M6" s="20"/>
      <c r="N6" s="20" t="s">
        <v>4</v>
      </c>
      <c r="O6" s="21"/>
      <c r="P6" s="21"/>
      <c r="Q6" s="21"/>
      <c r="R6" s="21"/>
      <c r="S6" s="21"/>
      <c r="T6" s="19"/>
      <c r="U6" s="19"/>
      <c r="V6" s="19"/>
      <c r="W6" s="19"/>
    </row>
    <row r="7" spans="1:23" ht="21" customHeight="1">
      <c r="A7" s="19"/>
      <c r="B7" s="22"/>
      <c r="C7" s="22"/>
      <c r="D7" s="22"/>
      <c r="E7" s="22"/>
      <c r="F7" s="22"/>
      <c r="G7" s="22"/>
      <c r="H7" s="22"/>
      <c r="I7" s="22"/>
      <c r="J7" s="22"/>
      <c r="K7" s="22"/>
      <c r="L7" s="21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pans="1:23" ht="17.25" customHeight="1">
      <c r="A8" s="23"/>
      <c r="B8" s="357"/>
      <c r="C8" s="344" t="s">
        <v>5</v>
      </c>
      <c r="D8" s="344"/>
      <c r="E8" s="344" t="s">
        <v>6</v>
      </c>
      <c r="F8" s="344" t="s">
        <v>7</v>
      </c>
      <c r="G8" s="344" t="s">
        <v>8</v>
      </c>
      <c r="H8" s="346" t="s">
        <v>9</v>
      </c>
      <c r="I8" s="347"/>
      <c r="J8" s="348"/>
      <c r="K8" s="349" t="s">
        <v>10</v>
      </c>
      <c r="L8" s="350"/>
      <c r="M8" s="351"/>
      <c r="N8" s="352" t="s">
        <v>11</v>
      </c>
      <c r="O8" s="347"/>
      <c r="P8" s="348"/>
      <c r="Q8" s="353" t="s">
        <v>12</v>
      </c>
      <c r="R8" s="347"/>
      <c r="S8" s="348"/>
      <c r="T8" s="354" t="s">
        <v>13</v>
      </c>
      <c r="U8" s="348"/>
      <c r="V8" s="355" t="s">
        <v>14</v>
      </c>
      <c r="W8" s="348"/>
    </row>
    <row r="9" spans="1:23" ht="17.25" customHeight="1">
      <c r="A9" s="24"/>
      <c r="B9" s="337"/>
      <c r="C9" s="345"/>
      <c r="D9" s="345"/>
      <c r="E9" s="345"/>
      <c r="F9" s="345"/>
      <c r="G9" s="345"/>
      <c r="H9" s="25" t="s">
        <v>15</v>
      </c>
      <c r="I9" s="25" t="s">
        <v>16</v>
      </c>
      <c r="J9" s="26" t="s">
        <v>17</v>
      </c>
      <c r="K9" s="198" t="s">
        <v>18</v>
      </c>
      <c r="L9" s="25" t="s">
        <v>19</v>
      </c>
      <c r="M9" s="28" t="s">
        <v>20</v>
      </c>
      <c r="N9" s="25" t="s">
        <v>21</v>
      </c>
      <c r="O9" s="25" t="s">
        <v>22</v>
      </c>
      <c r="P9" s="25" t="s">
        <v>23</v>
      </c>
      <c r="Q9" s="25" t="s">
        <v>24</v>
      </c>
      <c r="R9" s="25" t="s">
        <v>25</v>
      </c>
      <c r="S9" s="25" t="s">
        <v>26</v>
      </c>
      <c r="T9" s="29" t="s">
        <v>27</v>
      </c>
      <c r="U9" s="30" t="s">
        <v>28</v>
      </c>
      <c r="V9" s="29" t="s">
        <v>27</v>
      </c>
      <c r="W9" s="30" t="s">
        <v>28</v>
      </c>
    </row>
    <row r="10" spans="1:23" ht="21" customHeight="1">
      <c r="A10" s="19"/>
      <c r="B10" s="31"/>
      <c r="C10" s="32" t="s">
        <v>29</v>
      </c>
      <c r="D10" s="33"/>
      <c r="E10" s="33"/>
      <c r="F10" s="33"/>
      <c r="G10" s="33"/>
      <c r="H10" s="34"/>
      <c r="I10" s="35"/>
      <c r="J10" s="36"/>
      <c r="K10" s="199"/>
      <c r="L10" s="200"/>
      <c r="M10" s="34"/>
      <c r="N10" s="34"/>
      <c r="O10" s="34"/>
      <c r="P10" s="34"/>
      <c r="Q10" s="34"/>
      <c r="R10" s="34"/>
      <c r="S10" s="34"/>
      <c r="T10" s="38">
        <f t="shared" ref="T10:W10" si="0">T11+T40+T48+T77+T92+T114+T136+T158+T190</f>
        <v>377079.19360067078</v>
      </c>
      <c r="U10" s="38">
        <f t="shared" si="0"/>
        <v>35158.174580612831</v>
      </c>
      <c r="V10" s="38">
        <f t="shared" si="0"/>
        <v>371774</v>
      </c>
      <c r="W10" s="38">
        <f t="shared" si="0"/>
        <v>700</v>
      </c>
    </row>
    <row r="11" spans="1:23" ht="21" customHeight="1">
      <c r="A11" s="19"/>
      <c r="B11" s="39">
        <v>0</v>
      </c>
      <c r="C11" s="70" t="s">
        <v>141</v>
      </c>
      <c r="D11" s="42"/>
      <c r="E11" s="41"/>
      <c r="F11" s="41"/>
      <c r="G11" s="42"/>
      <c r="H11" s="43"/>
      <c r="I11" s="44"/>
      <c r="J11" s="45"/>
      <c r="K11" s="201"/>
      <c r="L11" s="202"/>
      <c r="M11" s="43"/>
      <c r="N11" s="43"/>
      <c r="O11" s="43"/>
      <c r="P11" s="43"/>
      <c r="Q11" s="43"/>
      <c r="R11" s="43"/>
      <c r="S11" s="43"/>
      <c r="T11" s="47">
        <f t="shared" ref="T11:W11" si="1">T12+T19+T26+T33</f>
        <v>0</v>
      </c>
      <c r="U11" s="47">
        <f t="shared" si="1"/>
        <v>0</v>
      </c>
      <c r="V11" s="47">
        <f t="shared" si="1"/>
        <v>39746</v>
      </c>
      <c r="W11" s="47">
        <f t="shared" si="1"/>
        <v>0</v>
      </c>
    </row>
    <row r="12" spans="1:23" ht="17.25" customHeight="1" outlineLevel="1">
      <c r="A12" s="76"/>
      <c r="B12" s="77">
        <v>0.1</v>
      </c>
      <c r="C12" s="358" t="s">
        <v>43</v>
      </c>
      <c r="D12" s="340"/>
      <c r="E12" s="78">
        <v>45986</v>
      </c>
      <c r="F12" s="78">
        <v>46022</v>
      </c>
      <c r="G12" s="80"/>
      <c r="H12" s="94"/>
      <c r="I12" s="95"/>
      <c r="J12" s="96"/>
      <c r="K12" s="96"/>
      <c r="L12" s="203"/>
      <c r="M12" s="204"/>
      <c r="N12" s="205"/>
      <c r="O12" s="99"/>
      <c r="P12" s="99"/>
      <c r="Q12" s="99"/>
      <c r="R12" s="99"/>
      <c r="S12" s="99"/>
      <c r="T12" s="91">
        <f t="shared" ref="T12:W12" si="2">SUM(T13:T18)</f>
        <v>0</v>
      </c>
      <c r="U12" s="91">
        <f t="shared" si="2"/>
        <v>0</v>
      </c>
      <c r="V12" s="91">
        <f t="shared" si="2"/>
        <v>31646</v>
      </c>
      <c r="W12" s="91">
        <f t="shared" si="2"/>
        <v>0</v>
      </c>
    </row>
    <row r="13" spans="1:23" ht="17.25" customHeight="1" outlineLevel="2">
      <c r="A13" s="48"/>
      <c r="B13" s="58"/>
      <c r="C13" s="59"/>
      <c r="D13" s="59"/>
      <c r="E13" s="60"/>
      <c r="F13" s="60"/>
      <c r="G13" s="61" t="s">
        <v>32</v>
      </c>
      <c r="H13" s="62"/>
      <c r="I13" s="63"/>
      <c r="J13" s="64"/>
      <c r="K13" s="206"/>
      <c r="L13" s="207"/>
      <c r="M13" s="208"/>
      <c r="N13" s="67"/>
      <c r="O13" s="67"/>
      <c r="P13" s="67"/>
      <c r="Q13" s="67"/>
      <c r="R13" s="108">
        <v>8367</v>
      </c>
      <c r="S13" s="108">
        <v>18279</v>
      </c>
      <c r="T13" s="67"/>
      <c r="U13" s="67"/>
      <c r="V13" s="67">
        <f t="shared" ref="V13:V18" si="3">SUM(O13:S13)</f>
        <v>26646</v>
      </c>
      <c r="W13" s="67"/>
    </row>
    <row r="14" spans="1:23" ht="17.25" customHeight="1" outlineLevel="2">
      <c r="A14" s="48"/>
      <c r="B14" s="58"/>
      <c r="C14" s="59"/>
      <c r="D14" s="59"/>
      <c r="E14" s="60"/>
      <c r="F14" s="60"/>
      <c r="G14" s="61" t="s">
        <v>33</v>
      </c>
      <c r="H14" s="62"/>
      <c r="I14" s="63"/>
      <c r="J14" s="64"/>
      <c r="K14" s="206"/>
      <c r="L14" s="209"/>
      <c r="M14" s="69"/>
      <c r="N14" s="67"/>
      <c r="O14" s="67"/>
      <c r="P14" s="67"/>
      <c r="Q14" s="67"/>
      <c r="R14" s="67"/>
      <c r="S14" s="67">
        <v>5000</v>
      </c>
      <c r="T14" s="67"/>
      <c r="U14" s="67"/>
      <c r="V14" s="67">
        <f t="shared" si="3"/>
        <v>5000</v>
      </c>
      <c r="W14" s="67"/>
    </row>
    <row r="15" spans="1:23" ht="17.25" customHeight="1" outlineLevel="2">
      <c r="A15" s="48"/>
      <c r="B15" s="58"/>
      <c r="C15" s="59"/>
      <c r="D15" s="59"/>
      <c r="E15" s="60"/>
      <c r="F15" s="60"/>
      <c r="G15" s="61" t="s">
        <v>34</v>
      </c>
      <c r="H15" s="62"/>
      <c r="I15" s="63"/>
      <c r="J15" s="64"/>
      <c r="K15" s="206"/>
      <c r="L15" s="210"/>
      <c r="M15" s="92"/>
      <c r="N15" s="67"/>
      <c r="O15" s="67"/>
      <c r="P15" s="67"/>
      <c r="Q15" s="67"/>
      <c r="R15" s="68"/>
      <c r="S15" s="67"/>
      <c r="T15" s="67"/>
      <c r="U15" s="67"/>
      <c r="V15" s="67">
        <f t="shared" si="3"/>
        <v>0</v>
      </c>
      <c r="W15" s="67"/>
    </row>
    <row r="16" spans="1:23" ht="17.25" customHeight="1" outlineLevel="2">
      <c r="A16" s="48"/>
      <c r="B16" s="58"/>
      <c r="C16" s="59"/>
      <c r="D16" s="59"/>
      <c r="E16" s="60"/>
      <c r="F16" s="60"/>
      <c r="G16" s="61" t="s">
        <v>35</v>
      </c>
      <c r="H16" s="62"/>
      <c r="I16" s="63"/>
      <c r="J16" s="64"/>
      <c r="K16" s="206"/>
      <c r="L16" s="211"/>
      <c r="M16" s="104"/>
      <c r="N16" s="67"/>
      <c r="O16" s="67"/>
      <c r="P16" s="67"/>
      <c r="Q16" s="67"/>
      <c r="R16" s="68"/>
      <c r="S16" s="67"/>
      <c r="T16" s="67"/>
      <c r="U16" s="67"/>
      <c r="V16" s="67">
        <f t="shared" si="3"/>
        <v>0</v>
      </c>
      <c r="W16" s="67"/>
    </row>
    <row r="17" spans="1:23" ht="17.25" customHeight="1" outlineLevel="2">
      <c r="A17" s="48"/>
      <c r="B17" s="58"/>
      <c r="C17" s="59"/>
      <c r="D17" s="59"/>
      <c r="E17" s="60"/>
      <c r="F17" s="60"/>
      <c r="G17" s="61" t="s">
        <v>36</v>
      </c>
      <c r="H17" s="62"/>
      <c r="I17" s="63"/>
      <c r="J17" s="64"/>
      <c r="K17" s="206"/>
      <c r="L17" s="209"/>
      <c r="M17" s="69"/>
      <c r="N17" s="67"/>
      <c r="O17" s="67"/>
      <c r="P17" s="67"/>
      <c r="Q17" s="67"/>
      <c r="R17" s="68"/>
      <c r="S17" s="67"/>
      <c r="T17" s="67"/>
      <c r="U17" s="67"/>
      <c r="V17" s="67">
        <f t="shared" si="3"/>
        <v>0</v>
      </c>
      <c r="W17" s="67"/>
    </row>
    <row r="18" spans="1:23" ht="17.25" customHeight="1" outlineLevel="2">
      <c r="A18" s="48"/>
      <c r="B18" s="58"/>
      <c r="C18" s="59"/>
      <c r="D18" s="59"/>
      <c r="E18" s="60"/>
      <c r="F18" s="60"/>
      <c r="G18" s="61" t="s">
        <v>37</v>
      </c>
      <c r="H18" s="62"/>
      <c r="I18" s="63"/>
      <c r="J18" s="64"/>
      <c r="K18" s="212"/>
      <c r="L18" s="209"/>
      <c r="M18" s="69"/>
      <c r="N18" s="67"/>
      <c r="O18" s="67"/>
      <c r="P18" s="67"/>
      <c r="Q18" s="67"/>
      <c r="R18" s="68"/>
      <c r="S18" s="68"/>
      <c r="T18" s="67"/>
      <c r="U18" s="67"/>
      <c r="V18" s="67">
        <f t="shared" si="3"/>
        <v>0</v>
      </c>
      <c r="W18" s="67"/>
    </row>
    <row r="19" spans="1:23" ht="17.25" customHeight="1" outlineLevel="1">
      <c r="A19" s="76"/>
      <c r="B19" s="77">
        <v>0.2</v>
      </c>
      <c r="C19" s="358" t="s">
        <v>142</v>
      </c>
      <c r="D19" s="340"/>
      <c r="E19" s="78">
        <v>45986</v>
      </c>
      <c r="F19" s="78">
        <v>46022</v>
      </c>
      <c r="G19" s="80"/>
      <c r="H19" s="94"/>
      <c r="I19" s="95"/>
      <c r="J19" s="96"/>
      <c r="K19" s="96"/>
      <c r="L19" s="203"/>
      <c r="M19" s="204"/>
      <c r="N19" s="205"/>
      <c r="O19" s="99"/>
      <c r="P19" s="99"/>
      <c r="Q19" s="99"/>
      <c r="R19" s="99"/>
      <c r="S19" s="99"/>
      <c r="T19" s="91">
        <f t="shared" ref="T19:W19" si="4">SUM(T20:T25)</f>
        <v>0</v>
      </c>
      <c r="U19" s="91">
        <f t="shared" si="4"/>
        <v>0</v>
      </c>
      <c r="V19" s="91">
        <f t="shared" si="4"/>
        <v>0</v>
      </c>
      <c r="W19" s="91">
        <f t="shared" si="4"/>
        <v>0</v>
      </c>
    </row>
    <row r="20" spans="1:23" ht="17.25" customHeight="1" outlineLevel="2">
      <c r="A20" s="48"/>
      <c r="B20" s="58"/>
      <c r="C20" s="59"/>
      <c r="D20" s="59"/>
      <c r="E20" s="60"/>
      <c r="F20" s="60"/>
      <c r="G20" s="61" t="s">
        <v>32</v>
      </c>
      <c r="H20" s="62"/>
      <c r="I20" s="63"/>
      <c r="J20" s="64"/>
      <c r="K20" s="206"/>
      <c r="L20" s="207"/>
      <c r="M20" s="208"/>
      <c r="N20" s="67"/>
      <c r="O20" s="67"/>
      <c r="P20" s="67"/>
      <c r="Q20" s="67"/>
      <c r="R20" s="67"/>
      <c r="S20" s="67"/>
      <c r="T20" s="67"/>
      <c r="U20" s="67"/>
      <c r="V20" s="67">
        <f t="shared" ref="V20:V25" si="5">SUM(O20:S20)</f>
        <v>0</v>
      </c>
      <c r="W20" s="67"/>
    </row>
    <row r="21" spans="1:23" ht="17.25" customHeight="1" outlineLevel="2">
      <c r="A21" s="48"/>
      <c r="B21" s="58"/>
      <c r="C21" s="59"/>
      <c r="D21" s="59"/>
      <c r="E21" s="60"/>
      <c r="F21" s="60"/>
      <c r="G21" s="61" t="s">
        <v>33</v>
      </c>
      <c r="H21" s="62"/>
      <c r="I21" s="63"/>
      <c r="J21" s="64"/>
      <c r="K21" s="206"/>
      <c r="L21" s="209"/>
      <c r="M21" s="69"/>
      <c r="N21" s="67"/>
      <c r="O21" s="67"/>
      <c r="P21" s="67"/>
      <c r="Q21" s="67"/>
      <c r="R21" s="67"/>
      <c r="S21" s="67"/>
      <c r="T21" s="67"/>
      <c r="U21" s="67"/>
      <c r="V21" s="67">
        <f t="shared" si="5"/>
        <v>0</v>
      </c>
      <c r="W21" s="67"/>
    </row>
    <row r="22" spans="1:23" ht="17.25" customHeight="1" outlineLevel="2">
      <c r="A22" s="48"/>
      <c r="B22" s="58"/>
      <c r="C22" s="59"/>
      <c r="D22" s="59"/>
      <c r="E22" s="60"/>
      <c r="F22" s="60"/>
      <c r="G22" s="61" t="s">
        <v>34</v>
      </c>
      <c r="H22" s="62"/>
      <c r="I22" s="63"/>
      <c r="J22" s="64"/>
      <c r="K22" s="206"/>
      <c r="L22" s="210"/>
      <c r="M22" s="92"/>
      <c r="N22" s="67"/>
      <c r="O22" s="67"/>
      <c r="P22" s="67"/>
      <c r="Q22" s="67"/>
      <c r="R22" s="68"/>
      <c r="S22" s="67"/>
      <c r="T22" s="67"/>
      <c r="U22" s="67"/>
      <c r="V22" s="67">
        <f t="shared" si="5"/>
        <v>0</v>
      </c>
      <c r="W22" s="67"/>
    </row>
    <row r="23" spans="1:23" ht="17.25" customHeight="1" outlineLevel="2">
      <c r="A23" s="48"/>
      <c r="B23" s="58"/>
      <c r="C23" s="59"/>
      <c r="D23" s="59"/>
      <c r="E23" s="60"/>
      <c r="F23" s="60"/>
      <c r="G23" s="61" t="s">
        <v>35</v>
      </c>
      <c r="H23" s="62"/>
      <c r="I23" s="63"/>
      <c r="J23" s="64"/>
      <c r="K23" s="206"/>
      <c r="L23" s="211"/>
      <c r="M23" s="104"/>
      <c r="N23" s="67"/>
      <c r="O23" s="67"/>
      <c r="P23" s="67"/>
      <c r="Q23" s="67"/>
      <c r="R23" s="68"/>
      <c r="S23" s="67"/>
      <c r="T23" s="67"/>
      <c r="U23" s="67"/>
      <c r="V23" s="67">
        <f t="shared" si="5"/>
        <v>0</v>
      </c>
      <c r="W23" s="67"/>
    </row>
    <row r="24" spans="1:23" ht="17.25" customHeight="1" outlineLevel="2">
      <c r="A24" s="48"/>
      <c r="B24" s="58"/>
      <c r="C24" s="59"/>
      <c r="D24" s="59"/>
      <c r="E24" s="60"/>
      <c r="F24" s="60"/>
      <c r="G24" s="61" t="s">
        <v>36</v>
      </c>
      <c r="H24" s="62"/>
      <c r="I24" s="63"/>
      <c r="J24" s="64"/>
      <c r="K24" s="206"/>
      <c r="L24" s="209"/>
      <c r="M24" s="69"/>
      <c r="N24" s="67"/>
      <c r="O24" s="67"/>
      <c r="P24" s="67"/>
      <c r="Q24" s="67"/>
      <c r="R24" s="68"/>
      <c r="S24" s="67"/>
      <c r="T24" s="67"/>
      <c r="U24" s="67"/>
      <c r="V24" s="67">
        <f t="shared" si="5"/>
        <v>0</v>
      </c>
      <c r="W24" s="67"/>
    </row>
    <row r="25" spans="1:23" ht="17.25" customHeight="1" outlineLevel="2">
      <c r="A25" s="48"/>
      <c r="B25" s="58"/>
      <c r="C25" s="59"/>
      <c r="D25" s="59"/>
      <c r="E25" s="60"/>
      <c r="F25" s="60"/>
      <c r="G25" s="61" t="s">
        <v>37</v>
      </c>
      <c r="H25" s="62"/>
      <c r="I25" s="63"/>
      <c r="J25" s="64"/>
      <c r="K25" s="212"/>
      <c r="L25" s="209"/>
      <c r="M25" s="69"/>
      <c r="N25" s="67"/>
      <c r="O25" s="67"/>
      <c r="P25" s="67"/>
      <c r="Q25" s="67"/>
      <c r="R25" s="68"/>
      <c r="S25" s="68"/>
      <c r="T25" s="67"/>
      <c r="U25" s="67"/>
      <c r="V25" s="67">
        <f t="shared" si="5"/>
        <v>0</v>
      </c>
      <c r="W25" s="67"/>
    </row>
    <row r="26" spans="1:23" ht="17.25" customHeight="1" outlineLevel="1">
      <c r="A26" s="76"/>
      <c r="B26" s="77">
        <v>0.3</v>
      </c>
      <c r="C26" s="358" t="s">
        <v>143</v>
      </c>
      <c r="D26" s="340"/>
      <c r="E26" s="78">
        <v>45992</v>
      </c>
      <c r="F26" s="78">
        <v>46022</v>
      </c>
      <c r="G26" s="80"/>
      <c r="H26" s="94"/>
      <c r="I26" s="95"/>
      <c r="J26" s="96"/>
      <c r="K26" s="96"/>
      <c r="L26" s="203"/>
      <c r="M26" s="204"/>
      <c r="N26" s="205"/>
      <c r="O26" s="99"/>
      <c r="P26" s="99"/>
      <c r="Q26" s="99"/>
      <c r="R26" s="99"/>
      <c r="S26" s="99"/>
      <c r="T26" s="91">
        <f t="shared" ref="T26:W26" si="6">SUM(T27:T32)</f>
        <v>0</v>
      </c>
      <c r="U26" s="91">
        <f t="shared" si="6"/>
        <v>0</v>
      </c>
      <c r="V26" s="91">
        <f t="shared" si="6"/>
        <v>8100</v>
      </c>
      <c r="W26" s="91">
        <f t="shared" si="6"/>
        <v>0</v>
      </c>
    </row>
    <row r="27" spans="1:23" ht="17.25" customHeight="1" outlineLevel="2">
      <c r="A27" s="48"/>
      <c r="B27" s="58"/>
      <c r="C27" s="59"/>
      <c r="D27" s="59"/>
      <c r="E27" s="60"/>
      <c r="F27" s="60"/>
      <c r="G27" s="61" t="s">
        <v>32</v>
      </c>
      <c r="H27" s="67"/>
      <c r="I27" s="67"/>
      <c r="J27" s="67"/>
      <c r="K27" s="67"/>
      <c r="L27" s="207"/>
      <c r="M27" s="208"/>
      <c r="N27" s="67"/>
      <c r="O27" s="67"/>
      <c r="P27" s="67"/>
      <c r="Q27" s="67"/>
      <c r="R27" s="67"/>
      <c r="S27" s="67"/>
      <c r="T27" s="67"/>
      <c r="U27" s="67"/>
      <c r="V27" s="67">
        <f t="shared" ref="V27:V32" si="7">SUM(O27:S27)</f>
        <v>0</v>
      </c>
      <c r="W27" s="67"/>
    </row>
    <row r="28" spans="1:23" ht="17.25" customHeight="1" outlineLevel="2">
      <c r="A28" s="48"/>
      <c r="B28" s="58"/>
      <c r="C28" s="59"/>
      <c r="D28" s="59"/>
      <c r="E28" s="60"/>
      <c r="F28" s="60"/>
      <c r="G28" s="61" t="s">
        <v>33</v>
      </c>
      <c r="H28" s="67"/>
      <c r="I28" s="67"/>
      <c r="J28" s="67"/>
      <c r="K28" s="67"/>
      <c r="L28" s="209"/>
      <c r="M28" s="69"/>
      <c r="N28" s="67"/>
      <c r="O28" s="67"/>
      <c r="P28" s="67"/>
      <c r="Q28" s="67"/>
      <c r="R28" s="67"/>
      <c r="S28" s="67">
        <v>3100</v>
      </c>
      <c r="T28" s="67"/>
      <c r="U28" s="67"/>
      <c r="V28" s="67">
        <f t="shared" si="7"/>
        <v>3100</v>
      </c>
      <c r="W28" s="67"/>
    </row>
    <row r="29" spans="1:23" ht="17.25" customHeight="1" outlineLevel="2">
      <c r="A29" s="48"/>
      <c r="B29" s="58"/>
      <c r="C29" s="59"/>
      <c r="D29" s="59"/>
      <c r="E29" s="60"/>
      <c r="F29" s="60"/>
      <c r="G29" s="61" t="s">
        <v>34</v>
      </c>
      <c r="H29" s="67">
        <f>1618+1070</f>
        <v>2688</v>
      </c>
      <c r="I29" s="67"/>
      <c r="J29" s="67"/>
      <c r="K29" s="67"/>
      <c r="L29" s="210"/>
      <c r="M29" s="92"/>
      <c r="N29" s="67"/>
      <c r="O29" s="67"/>
      <c r="P29" s="67"/>
      <c r="Q29" s="67"/>
      <c r="R29" s="68"/>
      <c r="S29" s="67">
        <v>1500</v>
      </c>
      <c r="T29" s="67"/>
      <c r="U29" s="67"/>
      <c r="V29" s="67">
        <f t="shared" si="7"/>
        <v>1500</v>
      </c>
      <c r="W29" s="67"/>
    </row>
    <row r="30" spans="1:23" ht="17.25" customHeight="1" outlineLevel="2">
      <c r="A30" s="48"/>
      <c r="B30" s="58"/>
      <c r="C30" s="59"/>
      <c r="D30" s="59"/>
      <c r="E30" s="60"/>
      <c r="F30" s="60"/>
      <c r="G30" s="61" t="s">
        <v>35</v>
      </c>
      <c r="H30" s="67"/>
      <c r="I30" s="67"/>
      <c r="J30" s="67"/>
      <c r="K30" s="67"/>
      <c r="L30" s="211"/>
      <c r="M30" s="104"/>
      <c r="N30" s="67"/>
      <c r="O30" s="67"/>
      <c r="P30" s="67"/>
      <c r="Q30" s="67"/>
      <c r="R30" s="68"/>
      <c r="S30" s="67">
        <v>3500</v>
      </c>
      <c r="T30" s="67"/>
      <c r="U30" s="67"/>
      <c r="V30" s="67">
        <f t="shared" si="7"/>
        <v>3500</v>
      </c>
      <c r="W30" s="67"/>
    </row>
    <row r="31" spans="1:23" ht="17.25" customHeight="1" outlineLevel="2">
      <c r="A31" s="48"/>
      <c r="B31" s="58"/>
      <c r="C31" s="59"/>
      <c r="D31" s="59"/>
      <c r="E31" s="60"/>
      <c r="F31" s="60"/>
      <c r="G31" s="61" t="s">
        <v>36</v>
      </c>
      <c r="H31" s="67"/>
      <c r="I31" s="67"/>
      <c r="J31" s="67"/>
      <c r="K31" s="67"/>
      <c r="L31" s="209"/>
      <c r="M31" s="69"/>
      <c r="N31" s="67"/>
      <c r="O31" s="67"/>
      <c r="P31" s="67"/>
      <c r="Q31" s="67"/>
      <c r="R31" s="68"/>
      <c r="S31" s="67"/>
      <c r="T31" s="67"/>
      <c r="U31" s="67"/>
      <c r="V31" s="67">
        <f t="shared" si="7"/>
        <v>0</v>
      </c>
      <c r="W31" s="67"/>
    </row>
    <row r="32" spans="1:23" ht="17.25" customHeight="1" outlineLevel="2">
      <c r="A32" s="48"/>
      <c r="B32" s="58"/>
      <c r="C32" s="59"/>
      <c r="D32" s="59"/>
      <c r="E32" s="60"/>
      <c r="F32" s="60"/>
      <c r="G32" s="61" t="s">
        <v>37</v>
      </c>
      <c r="H32" s="67"/>
      <c r="I32" s="67"/>
      <c r="J32" s="67"/>
      <c r="K32" s="67"/>
      <c r="L32" s="209"/>
      <c r="M32" s="69"/>
      <c r="N32" s="67"/>
      <c r="O32" s="67"/>
      <c r="P32" s="67"/>
      <c r="Q32" s="67"/>
      <c r="R32" s="68"/>
      <c r="S32" s="68"/>
      <c r="T32" s="67"/>
      <c r="U32" s="67"/>
      <c r="V32" s="67">
        <f t="shared" si="7"/>
        <v>0</v>
      </c>
      <c r="W32" s="67"/>
    </row>
    <row r="33" spans="1:23" ht="17.25" customHeight="1" outlineLevel="1">
      <c r="A33" s="76"/>
      <c r="B33" s="77">
        <v>0.4</v>
      </c>
      <c r="C33" s="367" t="s">
        <v>144</v>
      </c>
      <c r="D33" s="340"/>
      <c r="E33" s="78">
        <v>45992</v>
      </c>
      <c r="F33" s="78">
        <v>46022</v>
      </c>
      <c r="G33" s="80"/>
      <c r="H33" s="94"/>
      <c r="I33" s="95"/>
      <c r="J33" s="96"/>
      <c r="K33" s="96"/>
      <c r="L33" s="203"/>
      <c r="M33" s="204"/>
      <c r="N33" s="205"/>
      <c r="O33" s="99"/>
      <c r="P33" s="99"/>
      <c r="Q33" s="99"/>
      <c r="R33" s="99"/>
      <c r="S33" s="99"/>
      <c r="T33" s="91">
        <f t="shared" ref="T33:W33" si="8">SUM(T34:T39)</f>
        <v>0</v>
      </c>
      <c r="U33" s="91">
        <f t="shared" si="8"/>
        <v>0</v>
      </c>
      <c r="V33" s="91">
        <f t="shared" si="8"/>
        <v>0</v>
      </c>
      <c r="W33" s="91">
        <f t="shared" si="8"/>
        <v>0</v>
      </c>
    </row>
    <row r="34" spans="1:23" ht="17.25" customHeight="1" outlineLevel="2">
      <c r="A34" s="48"/>
      <c r="B34" s="58"/>
      <c r="C34" s="59"/>
      <c r="D34" s="59"/>
      <c r="E34" s="60"/>
      <c r="F34" s="60"/>
      <c r="G34" s="61" t="s">
        <v>32</v>
      </c>
      <c r="H34" s="62"/>
      <c r="I34" s="63"/>
      <c r="J34" s="64"/>
      <c r="K34" s="206"/>
      <c r="L34" s="207"/>
      <c r="M34" s="208"/>
      <c r="N34" s="67"/>
      <c r="O34" s="67"/>
      <c r="P34" s="67"/>
      <c r="Q34" s="67"/>
      <c r="R34" s="67"/>
      <c r="S34" s="67"/>
      <c r="T34" s="67"/>
      <c r="U34" s="67"/>
      <c r="V34" s="67">
        <f t="shared" ref="V34:V35" si="9">SUM(M34:S34)</f>
        <v>0</v>
      </c>
      <c r="W34" s="67">
        <f t="shared" ref="W34:W37" si="10">SUM(N34:S34)</f>
        <v>0</v>
      </c>
    </row>
    <row r="35" spans="1:23" ht="17.25" customHeight="1" outlineLevel="2">
      <c r="A35" s="48"/>
      <c r="B35" s="58"/>
      <c r="C35" s="59"/>
      <c r="D35" s="59"/>
      <c r="E35" s="60"/>
      <c r="F35" s="60"/>
      <c r="G35" s="61" t="s">
        <v>33</v>
      </c>
      <c r="H35" s="62"/>
      <c r="I35" s="63"/>
      <c r="J35" s="64"/>
      <c r="K35" s="206"/>
      <c r="L35" s="209"/>
      <c r="M35" s="69"/>
      <c r="N35" s="67"/>
      <c r="O35" s="67"/>
      <c r="P35" s="67"/>
      <c r="Q35" s="67"/>
      <c r="R35" s="67"/>
      <c r="S35" s="67"/>
      <c r="T35" s="67"/>
      <c r="U35" s="67"/>
      <c r="V35" s="67">
        <f t="shared" si="9"/>
        <v>0</v>
      </c>
      <c r="W35" s="67">
        <f t="shared" si="10"/>
        <v>0</v>
      </c>
    </row>
    <row r="36" spans="1:23" ht="17.25" customHeight="1" outlineLevel="2">
      <c r="A36" s="48"/>
      <c r="B36" s="58"/>
      <c r="C36" s="59"/>
      <c r="D36" s="59"/>
      <c r="E36" s="60"/>
      <c r="F36" s="60"/>
      <c r="G36" s="61" t="s">
        <v>34</v>
      </c>
      <c r="H36" s="62"/>
      <c r="I36" s="63"/>
      <c r="J36" s="64"/>
      <c r="K36" s="206"/>
      <c r="L36" s="210"/>
      <c r="M36" s="92"/>
      <c r="N36" s="67"/>
      <c r="O36" s="67"/>
      <c r="P36" s="67"/>
      <c r="Q36" s="67"/>
      <c r="R36" s="68"/>
      <c r="S36" s="67"/>
      <c r="T36" s="67"/>
      <c r="U36" s="67"/>
      <c r="V36" s="67"/>
      <c r="W36" s="67">
        <f t="shared" si="10"/>
        <v>0</v>
      </c>
    </row>
    <row r="37" spans="1:23" ht="17.25" customHeight="1" outlineLevel="2">
      <c r="A37" s="48"/>
      <c r="B37" s="58"/>
      <c r="C37" s="59"/>
      <c r="D37" s="59"/>
      <c r="E37" s="60"/>
      <c r="F37" s="60"/>
      <c r="G37" s="61" t="s">
        <v>35</v>
      </c>
      <c r="H37" s="62"/>
      <c r="I37" s="63"/>
      <c r="J37" s="64"/>
      <c r="K37" s="206"/>
      <c r="L37" s="211"/>
      <c r="M37" s="104"/>
      <c r="N37" s="67"/>
      <c r="O37" s="67"/>
      <c r="P37" s="67"/>
      <c r="Q37" s="67"/>
      <c r="R37" s="68"/>
      <c r="S37" s="67"/>
      <c r="T37" s="67"/>
      <c r="U37" s="67"/>
      <c r="V37" s="67">
        <f t="shared" ref="V37:V39" si="11">SUM(M37:S37)</f>
        <v>0</v>
      </c>
      <c r="W37" s="67">
        <f t="shared" si="10"/>
        <v>0</v>
      </c>
    </row>
    <row r="38" spans="1:23" ht="17.25" customHeight="1" outlineLevel="2">
      <c r="A38" s="48"/>
      <c r="B38" s="58"/>
      <c r="C38" s="59"/>
      <c r="D38" s="59"/>
      <c r="E38" s="60"/>
      <c r="F38" s="60"/>
      <c r="G38" s="61" t="s">
        <v>36</v>
      </c>
      <c r="H38" s="62"/>
      <c r="I38" s="63"/>
      <c r="J38" s="64"/>
      <c r="K38" s="206"/>
      <c r="L38" s="209"/>
      <c r="M38" s="69"/>
      <c r="N38" s="67"/>
      <c r="O38" s="67"/>
      <c r="P38" s="67"/>
      <c r="Q38" s="67"/>
      <c r="R38" s="68"/>
      <c r="S38" s="67"/>
      <c r="T38" s="67"/>
      <c r="U38" s="67"/>
      <c r="V38" s="67">
        <f t="shared" si="11"/>
        <v>0</v>
      </c>
      <c r="W38" s="67"/>
    </row>
    <row r="39" spans="1:23" ht="17.25" customHeight="1" outlineLevel="2">
      <c r="A39" s="48"/>
      <c r="B39" s="58"/>
      <c r="C39" s="59"/>
      <c r="D39" s="59"/>
      <c r="E39" s="60"/>
      <c r="F39" s="60"/>
      <c r="G39" s="61" t="s">
        <v>37</v>
      </c>
      <c r="H39" s="62"/>
      <c r="I39" s="63"/>
      <c r="J39" s="64"/>
      <c r="K39" s="212"/>
      <c r="L39" s="209"/>
      <c r="M39" s="69"/>
      <c r="N39" s="67"/>
      <c r="O39" s="67"/>
      <c r="P39" s="67"/>
      <c r="Q39" s="67"/>
      <c r="R39" s="68"/>
      <c r="S39" s="68"/>
      <c r="T39" s="67"/>
      <c r="U39" s="67"/>
      <c r="V39" s="67">
        <f t="shared" si="11"/>
        <v>0</v>
      </c>
      <c r="W39" s="67"/>
    </row>
    <row r="40" spans="1:23" ht="21" customHeight="1">
      <c r="A40" s="19"/>
      <c r="B40" s="39">
        <v>1</v>
      </c>
      <c r="C40" s="40" t="s">
        <v>30</v>
      </c>
      <c r="D40" s="41"/>
      <c r="E40" s="41"/>
      <c r="F40" s="41"/>
      <c r="G40" s="42"/>
      <c r="H40" s="43"/>
      <c r="I40" s="44"/>
      <c r="J40" s="45"/>
      <c r="K40" s="201"/>
      <c r="L40" s="202"/>
      <c r="M40" s="43"/>
      <c r="N40" s="43"/>
      <c r="O40" s="43"/>
      <c r="P40" s="43"/>
      <c r="Q40" s="43"/>
      <c r="R40" s="43"/>
      <c r="S40" s="43"/>
      <c r="T40" s="47">
        <f t="shared" ref="T40:W40" si="12">T41</f>
        <v>10468</v>
      </c>
      <c r="U40" s="47">
        <f t="shared" si="12"/>
        <v>0</v>
      </c>
      <c r="V40" s="47">
        <f t="shared" si="12"/>
        <v>46528</v>
      </c>
      <c r="W40" s="47">
        <f t="shared" si="12"/>
        <v>0</v>
      </c>
    </row>
    <row r="41" spans="1:23" ht="17.25" customHeight="1" outlineLevel="1">
      <c r="A41" s="48"/>
      <c r="B41" s="49">
        <v>1.1000000000000001</v>
      </c>
      <c r="C41" s="332" t="s">
        <v>31</v>
      </c>
      <c r="D41" s="330"/>
      <c r="E41" s="50">
        <v>45838</v>
      </c>
      <c r="F41" s="50">
        <v>45960</v>
      </c>
      <c r="G41" s="51"/>
      <c r="H41" s="52"/>
      <c r="I41" s="53"/>
      <c r="J41" s="54"/>
      <c r="K41" s="213"/>
      <c r="L41" s="214"/>
      <c r="M41" s="56"/>
      <c r="N41" s="56"/>
      <c r="O41" s="56"/>
      <c r="P41" s="56"/>
      <c r="Q41" s="56"/>
      <c r="R41" s="56"/>
      <c r="S41" s="56"/>
      <c r="T41" s="57">
        <f t="shared" ref="T41:W41" si="13">SUM(T42:T47)</f>
        <v>10468</v>
      </c>
      <c r="U41" s="57">
        <f t="shared" si="13"/>
        <v>0</v>
      </c>
      <c r="V41" s="57">
        <f t="shared" si="13"/>
        <v>46528</v>
      </c>
      <c r="W41" s="57">
        <f t="shared" si="13"/>
        <v>0</v>
      </c>
    </row>
    <row r="42" spans="1:23" ht="17.25" customHeight="1" outlineLevel="1">
      <c r="A42" s="48"/>
      <c r="B42" s="58"/>
      <c r="C42" s="59"/>
      <c r="D42" s="59"/>
      <c r="E42" s="60"/>
      <c r="F42" s="60"/>
      <c r="G42" s="61" t="s">
        <v>32</v>
      </c>
      <c r="H42" s="62"/>
      <c r="I42" s="63"/>
      <c r="J42" s="64"/>
      <c r="K42" s="212"/>
      <c r="L42" s="215"/>
      <c r="M42" s="110">
        <v>4143</v>
      </c>
      <c r="N42" s="108">
        <v>4628</v>
      </c>
      <c r="O42" s="108">
        <v>7045</v>
      </c>
      <c r="P42" s="108">
        <v>4137</v>
      </c>
      <c r="Q42" s="108">
        <v>3896</v>
      </c>
      <c r="R42" s="68"/>
      <c r="S42" s="68"/>
      <c r="T42" s="67">
        <f t="shared" ref="T42:T47" si="14">SUM(H42:N42)</f>
        <v>8771</v>
      </c>
      <c r="U42" s="67"/>
      <c r="V42" s="67">
        <f t="shared" ref="V42:V47" si="15">SUM(O42:S42)</f>
        <v>15078</v>
      </c>
      <c r="W42" s="67"/>
    </row>
    <row r="43" spans="1:23" ht="17.25" customHeight="1" outlineLevel="1">
      <c r="A43" s="48"/>
      <c r="B43" s="58"/>
      <c r="C43" s="59"/>
      <c r="D43" s="59"/>
      <c r="E43" s="60"/>
      <c r="F43" s="60"/>
      <c r="G43" s="61" t="s">
        <v>33</v>
      </c>
      <c r="H43" s="62"/>
      <c r="I43" s="63"/>
      <c r="J43" s="64"/>
      <c r="K43" s="212"/>
      <c r="L43" s="209"/>
      <c r="M43" s="69"/>
      <c r="N43" s="216">
        <v>0</v>
      </c>
      <c r="O43" s="67">
        <v>4000</v>
      </c>
      <c r="P43" s="217">
        <v>9000</v>
      </c>
      <c r="Q43" s="218">
        <v>10000</v>
      </c>
      <c r="R43" s="68"/>
      <c r="S43" s="68"/>
      <c r="T43" s="67">
        <f t="shared" si="14"/>
        <v>0</v>
      </c>
      <c r="U43" s="67"/>
      <c r="V43" s="67">
        <f t="shared" si="15"/>
        <v>23000</v>
      </c>
      <c r="W43" s="67"/>
    </row>
    <row r="44" spans="1:23" ht="17.25" customHeight="1" outlineLevel="1">
      <c r="A44" s="48"/>
      <c r="B44" s="58"/>
      <c r="C44" s="59"/>
      <c r="D44" s="59"/>
      <c r="E44" s="60"/>
      <c r="F44" s="60"/>
      <c r="G44" s="61" t="s">
        <v>34</v>
      </c>
      <c r="H44" s="62"/>
      <c r="I44" s="63"/>
      <c r="J44" s="64"/>
      <c r="K44" s="212"/>
      <c r="L44" s="209"/>
      <c r="M44" s="69">
        <v>14</v>
      </c>
      <c r="N44" s="216">
        <v>1683</v>
      </c>
      <c r="O44" s="67">
        <v>1350</v>
      </c>
      <c r="P44" s="67">
        <v>1450</v>
      </c>
      <c r="Q44" s="219">
        <v>1100</v>
      </c>
      <c r="R44" s="68"/>
      <c r="S44" s="68"/>
      <c r="T44" s="67">
        <f t="shared" si="14"/>
        <v>1697</v>
      </c>
      <c r="U44" s="67"/>
      <c r="V44" s="67">
        <f t="shared" si="15"/>
        <v>3900</v>
      </c>
      <c r="W44" s="67"/>
    </row>
    <row r="45" spans="1:23" ht="17.25" customHeight="1" outlineLevel="1">
      <c r="A45" s="48"/>
      <c r="B45" s="58"/>
      <c r="C45" s="59"/>
      <c r="D45" s="59"/>
      <c r="E45" s="60"/>
      <c r="F45" s="60"/>
      <c r="G45" s="61" t="s">
        <v>35</v>
      </c>
      <c r="H45" s="62"/>
      <c r="I45" s="63"/>
      <c r="J45" s="64"/>
      <c r="K45" s="212"/>
      <c r="L45" s="209"/>
      <c r="M45" s="69"/>
      <c r="N45" s="216">
        <v>0</v>
      </c>
      <c r="O45" s="67">
        <v>1350</v>
      </c>
      <c r="P45" s="67">
        <v>1500</v>
      </c>
      <c r="Q45" s="219">
        <v>1700</v>
      </c>
      <c r="R45" s="68"/>
      <c r="S45" s="68"/>
      <c r="T45" s="67">
        <f t="shared" si="14"/>
        <v>0</v>
      </c>
      <c r="U45" s="67"/>
      <c r="V45" s="67">
        <f t="shared" si="15"/>
        <v>4550</v>
      </c>
      <c r="W45" s="67"/>
    </row>
    <row r="46" spans="1:23" ht="17.25" customHeight="1" outlineLevel="1">
      <c r="A46" s="48"/>
      <c r="B46" s="58"/>
      <c r="C46" s="59"/>
      <c r="D46" s="59"/>
      <c r="E46" s="60"/>
      <c r="F46" s="60"/>
      <c r="G46" s="61" t="s">
        <v>36</v>
      </c>
      <c r="H46" s="62"/>
      <c r="I46" s="63"/>
      <c r="J46" s="64"/>
      <c r="K46" s="212"/>
      <c r="L46" s="209"/>
      <c r="M46" s="69"/>
      <c r="N46" s="67"/>
      <c r="O46" s="67"/>
      <c r="P46" s="67"/>
      <c r="Q46" s="67"/>
      <c r="R46" s="68"/>
      <c r="S46" s="68"/>
      <c r="T46" s="67">
        <f t="shared" si="14"/>
        <v>0</v>
      </c>
      <c r="U46" s="67"/>
      <c r="V46" s="67">
        <f t="shared" si="15"/>
        <v>0</v>
      </c>
      <c r="W46" s="67">
        <f>SUM(L46:S46)</f>
        <v>0</v>
      </c>
    </row>
    <row r="47" spans="1:23" ht="17.25" customHeight="1" outlineLevel="1">
      <c r="A47" s="48"/>
      <c r="B47" s="58"/>
      <c r="C47" s="59"/>
      <c r="D47" s="59"/>
      <c r="E47" s="60"/>
      <c r="F47" s="60"/>
      <c r="G47" s="61" t="s">
        <v>37</v>
      </c>
      <c r="H47" s="62"/>
      <c r="I47" s="63"/>
      <c r="J47" s="64"/>
      <c r="K47" s="212"/>
      <c r="L47" s="215"/>
      <c r="M47" s="66"/>
      <c r="N47" s="68"/>
      <c r="O47" s="68"/>
      <c r="P47" s="68"/>
      <c r="Q47" s="68"/>
      <c r="R47" s="68"/>
      <c r="S47" s="68"/>
      <c r="T47" s="67">
        <f t="shared" si="14"/>
        <v>0</v>
      </c>
      <c r="U47" s="67"/>
      <c r="V47" s="67">
        <f t="shared" si="15"/>
        <v>0</v>
      </c>
      <c r="W47" s="67"/>
    </row>
    <row r="48" spans="1:23" ht="21" customHeight="1">
      <c r="A48" s="19"/>
      <c r="B48" s="39">
        <v>2</v>
      </c>
      <c r="C48" s="70" t="s">
        <v>38</v>
      </c>
      <c r="D48" s="42"/>
      <c r="E48" s="71"/>
      <c r="F48" s="71"/>
      <c r="G48" s="71"/>
      <c r="H48" s="71"/>
      <c r="I48" s="73"/>
      <c r="J48" s="74"/>
      <c r="K48" s="220"/>
      <c r="L48" s="221"/>
      <c r="M48" s="73"/>
      <c r="N48" s="73"/>
      <c r="O48" s="73"/>
      <c r="P48" s="73"/>
      <c r="Q48" s="73"/>
      <c r="R48" s="73"/>
      <c r="S48" s="73"/>
      <c r="T48" s="47">
        <f t="shared" ref="T48:W48" si="16">T56+T63+T70+T49</f>
        <v>114317.27651176226</v>
      </c>
      <c r="U48" s="47">
        <f t="shared" si="16"/>
        <v>0</v>
      </c>
      <c r="V48" s="47">
        <f t="shared" si="16"/>
        <v>22902</v>
      </c>
      <c r="W48" s="47">
        <f t="shared" si="16"/>
        <v>0</v>
      </c>
    </row>
    <row r="49" spans="1:23" ht="15.75" customHeight="1" outlineLevel="1">
      <c r="A49" s="48"/>
      <c r="B49" s="222">
        <v>2</v>
      </c>
      <c r="C49" s="332" t="s">
        <v>89</v>
      </c>
      <c r="D49" s="330"/>
      <c r="E49" s="116">
        <v>45658</v>
      </c>
      <c r="F49" s="116">
        <v>45746</v>
      </c>
      <c r="G49" s="172"/>
      <c r="H49" s="57"/>
      <c r="I49" s="57"/>
      <c r="J49" s="169"/>
      <c r="K49" s="179"/>
      <c r="L49" s="223"/>
      <c r="M49" s="57"/>
      <c r="N49" s="57"/>
      <c r="O49" s="57"/>
      <c r="P49" s="57"/>
      <c r="Q49" s="57"/>
      <c r="R49" s="57"/>
      <c r="S49" s="57"/>
      <c r="T49" s="57">
        <f t="shared" ref="T49:W49" si="17">SUM(T50:T55)</f>
        <v>11929</v>
      </c>
      <c r="U49" s="57">
        <f t="shared" si="17"/>
        <v>0</v>
      </c>
      <c r="V49" s="57">
        <f t="shared" si="17"/>
        <v>0</v>
      </c>
      <c r="W49" s="57">
        <f t="shared" si="17"/>
        <v>0</v>
      </c>
    </row>
    <row r="50" spans="1:23" ht="13" outlineLevel="2">
      <c r="A50" s="48"/>
      <c r="B50" s="58"/>
      <c r="C50" s="59"/>
      <c r="D50" s="59"/>
      <c r="E50" s="60"/>
      <c r="F50" s="60"/>
      <c r="G50" s="61" t="s">
        <v>32</v>
      </c>
      <c r="H50" s="110">
        <v>294</v>
      </c>
      <c r="I50" s="110">
        <v>2169</v>
      </c>
      <c r="J50" s="224">
        <v>949</v>
      </c>
      <c r="K50" s="206"/>
      <c r="L50" s="209"/>
      <c r="M50" s="69"/>
      <c r="N50" s="69"/>
      <c r="O50" s="69"/>
      <c r="P50" s="69"/>
      <c r="Q50" s="69"/>
      <c r="R50" s="69"/>
      <c r="S50" s="69"/>
      <c r="T50" s="130">
        <f t="shared" ref="T50:T55" si="18">SUM(H50:N50)</f>
        <v>3412</v>
      </c>
      <c r="U50" s="69"/>
      <c r="V50" s="69">
        <f t="shared" ref="V50:V55" si="19">SUM(L50:S50)</f>
        <v>0</v>
      </c>
      <c r="W50" s="69"/>
    </row>
    <row r="51" spans="1:23" ht="17.25" customHeight="1" outlineLevel="2">
      <c r="A51" s="48"/>
      <c r="B51" s="58"/>
      <c r="C51" s="59"/>
      <c r="D51" s="59"/>
      <c r="E51" s="60"/>
      <c r="F51" s="60"/>
      <c r="G51" s="61" t="s">
        <v>33</v>
      </c>
      <c r="H51" s="69"/>
      <c r="I51" s="69"/>
      <c r="J51" s="149"/>
      <c r="K51" s="206"/>
      <c r="L51" s="209"/>
      <c r="M51" s="69"/>
      <c r="N51" s="69"/>
      <c r="O51" s="69"/>
      <c r="P51" s="69"/>
      <c r="Q51" s="69"/>
      <c r="R51" s="69"/>
      <c r="S51" s="69"/>
      <c r="T51" s="130">
        <f t="shared" si="18"/>
        <v>0</v>
      </c>
      <c r="U51" s="69"/>
      <c r="V51" s="69">
        <f t="shared" si="19"/>
        <v>0</v>
      </c>
      <c r="W51" s="69"/>
    </row>
    <row r="52" spans="1:23" ht="17.25" customHeight="1" outlineLevel="2">
      <c r="A52" s="48"/>
      <c r="B52" s="58"/>
      <c r="C52" s="59"/>
      <c r="D52" s="59"/>
      <c r="E52" s="60"/>
      <c r="F52" s="60"/>
      <c r="G52" s="61" t="s">
        <v>34</v>
      </c>
      <c r="H52" s="69">
        <v>146</v>
      </c>
      <c r="I52" s="69">
        <v>1604</v>
      </c>
      <c r="J52" s="149">
        <v>1118</v>
      </c>
      <c r="K52" s="206"/>
      <c r="L52" s="209"/>
      <c r="M52" s="69"/>
      <c r="N52" s="69"/>
      <c r="O52" s="69"/>
      <c r="P52" s="69"/>
      <c r="Q52" s="69"/>
      <c r="R52" s="69"/>
      <c r="S52" s="69"/>
      <c r="T52" s="130">
        <f t="shared" si="18"/>
        <v>2868</v>
      </c>
      <c r="U52" s="69"/>
      <c r="V52" s="69">
        <f t="shared" si="19"/>
        <v>0</v>
      </c>
      <c r="W52" s="69"/>
    </row>
    <row r="53" spans="1:23" ht="17.25" customHeight="1" outlineLevel="2">
      <c r="A53" s="48"/>
      <c r="B53" s="58"/>
      <c r="C53" s="59"/>
      <c r="D53" s="59"/>
      <c r="E53" s="60"/>
      <c r="F53" s="60"/>
      <c r="G53" s="61" t="s">
        <v>35</v>
      </c>
      <c r="H53" s="69"/>
      <c r="I53" s="69">
        <v>2093</v>
      </c>
      <c r="J53" s="149">
        <v>2534</v>
      </c>
      <c r="K53" s="206"/>
      <c r="L53" s="209"/>
      <c r="M53" s="69"/>
      <c r="N53" s="69"/>
      <c r="O53" s="69"/>
      <c r="P53" s="69"/>
      <c r="Q53" s="69"/>
      <c r="R53" s="69"/>
      <c r="S53" s="69"/>
      <c r="T53" s="130">
        <f t="shared" si="18"/>
        <v>4627</v>
      </c>
      <c r="U53" s="69"/>
      <c r="V53" s="69">
        <f t="shared" si="19"/>
        <v>0</v>
      </c>
      <c r="W53" s="69"/>
    </row>
    <row r="54" spans="1:23" ht="17.25" customHeight="1" outlineLevel="2">
      <c r="A54" s="48"/>
      <c r="B54" s="58"/>
      <c r="C54" s="59"/>
      <c r="D54" s="59"/>
      <c r="E54" s="60"/>
      <c r="F54" s="60"/>
      <c r="G54" s="61" t="s">
        <v>36</v>
      </c>
      <c r="H54" s="69"/>
      <c r="I54" s="69"/>
      <c r="J54" s="149"/>
      <c r="K54" s="206"/>
      <c r="L54" s="209"/>
      <c r="M54" s="69"/>
      <c r="N54" s="69"/>
      <c r="O54" s="69"/>
      <c r="P54" s="69"/>
      <c r="Q54" s="69"/>
      <c r="R54" s="69"/>
      <c r="S54" s="69"/>
      <c r="T54" s="130">
        <f t="shared" si="18"/>
        <v>0</v>
      </c>
      <c r="U54" s="69"/>
      <c r="V54" s="69">
        <f t="shared" si="19"/>
        <v>0</v>
      </c>
      <c r="W54" s="69"/>
    </row>
    <row r="55" spans="1:23" ht="17.25" customHeight="1" outlineLevel="2">
      <c r="A55" s="48"/>
      <c r="B55" s="58"/>
      <c r="C55" s="59"/>
      <c r="D55" s="59"/>
      <c r="E55" s="60"/>
      <c r="F55" s="60"/>
      <c r="G55" s="61" t="s">
        <v>90</v>
      </c>
      <c r="H55" s="69"/>
      <c r="I55" s="69">
        <v>511</v>
      </c>
      <c r="J55" s="149">
        <v>511</v>
      </c>
      <c r="K55" s="206"/>
      <c r="L55" s="209"/>
      <c r="M55" s="69"/>
      <c r="N55" s="69"/>
      <c r="O55" s="69"/>
      <c r="P55" s="69"/>
      <c r="Q55" s="69"/>
      <c r="R55" s="69"/>
      <c r="S55" s="69"/>
      <c r="T55" s="130">
        <f t="shared" si="18"/>
        <v>1022</v>
      </c>
      <c r="U55" s="69"/>
      <c r="V55" s="69">
        <f t="shared" si="19"/>
        <v>0</v>
      </c>
      <c r="W55" s="69"/>
    </row>
    <row r="56" spans="1:23" ht="17.25" customHeight="1" outlineLevel="1">
      <c r="A56" s="76"/>
      <c r="B56" s="77">
        <v>2.1</v>
      </c>
      <c r="C56" s="358" t="s">
        <v>39</v>
      </c>
      <c r="D56" s="340"/>
      <c r="E56" s="78">
        <v>45750</v>
      </c>
      <c r="F56" s="79">
        <v>45838</v>
      </c>
      <c r="G56" s="80"/>
      <c r="H56" s="81"/>
      <c r="I56" s="82"/>
      <c r="J56" s="83"/>
      <c r="K56" s="96"/>
      <c r="L56" s="203"/>
      <c r="M56" s="225"/>
      <c r="N56" s="226"/>
      <c r="O56" s="86"/>
      <c r="P56" s="86"/>
      <c r="Q56" s="86"/>
      <c r="R56" s="86"/>
      <c r="S56" s="86"/>
      <c r="T56" s="87">
        <f t="shared" ref="T56:W56" si="20">SUM(T57:T62)</f>
        <v>36624</v>
      </c>
      <c r="U56" s="87">
        <f t="shared" si="20"/>
        <v>0</v>
      </c>
      <c r="V56" s="87">
        <f t="shared" si="20"/>
        <v>0</v>
      </c>
      <c r="W56" s="87">
        <f t="shared" si="20"/>
        <v>0</v>
      </c>
    </row>
    <row r="57" spans="1:23" ht="17.25" customHeight="1" outlineLevel="2">
      <c r="A57" s="48"/>
      <c r="B57" s="58"/>
      <c r="C57" s="59"/>
      <c r="D57" s="59"/>
      <c r="E57" s="60"/>
      <c r="F57" s="60"/>
      <c r="G57" s="61" t="s">
        <v>32</v>
      </c>
      <c r="H57" s="62"/>
      <c r="I57" s="63"/>
      <c r="J57" s="64"/>
      <c r="K57" s="227">
        <v>10824</v>
      </c>
      <c r="L57" s="209"/>
      <c r="M57" s="69"/>
      <c r="N57" s="67"/>
      <c r="O57" s="67"/>
      <c r="P57" s="67"/>
      <c r="Q57" s="67"/>
      <c r="R57" s="68"/>
      <c r="S57" s="68"/>
      <c r="T57" s="67">
        <f t="shared" ref="T57:T62" si="21">SUM(H57:M57)</f>
        <v>10824</v>
      </c>
      <c r="U57" s="67"/>
      <c r="V57" s="67">
        <f t="shared" ref="V57:V62" si="22">SUM(N57:S57)</f>
        <v>0</v>
      </c>
      <c r="W57" s="67"/>
    </row>
    <row r="58" spans="1:23" ht="17.25" customHeight="1" outlineLevel="2">
      <c r="A58" s="48"/>
      <c r="B58" s="58"/>
      <c r="C58" s="59"/>
      <c r="D58" s="59"/>
      <c r="E58" s="60"/>
      <c r="F58" s="60"/>
      <c r="G58" s="61" t="s">
        <v>33</v>
      </c>
      <c r="H58" s="62"/>
      <c r="I58" s="63"/>
      <c r="J58" s="64"/>
      <c r="K58" s="206">
        <v>535</v>
      </c>
      <c r="L58" s="209">
        <v>805</v>
      </c>
      <c r="M58" s="69">
        <v>1150</v>
      </c>
      <c r="N58" s="67"/>
      <c r="O58" s="67"/>
      <c r="P58" s="67"/>
      <c r="Q58" s="67"/>
      <c r="R58" s="68"/>
      <c r="S58" s="68"/>
      <c r="T58" s="67">
        <f t="shared" si="21"/>
        <v>2490</v>
      </c>
      <c r="U58" s="67"/>
      <c r="V58" s="67">
        <f t="shared" si="22"/>
        <v>0</v>
      </c>
      <c r="W58" s="67"/>
    </row>
    <row r="59" spans="1:23" ht="17.25" customHeight="1" outlineLevel="2">
      <c r="A59" s="48"/>
      <c r="B59" s="58"/>
      <c r="C59" s="59"/>
      <c r="D59" s="59"/>
      <c r="E59" s="60"/>
      <c r="F59" s="60"/>
      <c r="G59" s="61" t="s">
        <v>34</v>
      </c>
      <c r="H59" s="62"/>
      <c r="I59" s="63"/>
      <c r="J59" s="64"/>
      <c r="K59" s="206">
        <v>3539</v>
      </c>
      <c r="L59" s="209">
        <v>7125</v>
      </c>
      <c r="M59" s="69">
        <v>3395</v>
      </c>
      <c r="N59" s="67"/>
      <c r="O59" s="67"/>
      <c r="P59" s="67"/>
      <c r="Q59" s="67"/>
      <c r="R59" s="68"/>
      <c r="S59" s="68"/>
      <c r="T59" s="67">
        <f t="shared" si="21"/>
        <v>14059</v>
      </c>
      <c r="U59" s="67"/>
      <c r="V59" s="67">
        <f t="shared" si="22"/>
        <v>0</v>
      </c>
      <c r="W59" s="67"/>
    </row>
    <row r="60" spans="1:23" ht="17.25" customHeight="1" outlineLevel="2">
      <c r="A60" s="48"/>
      <c r="B60" s="58"/>
      <c r="C60" s="59"/>
      <c r="D60" s="59"/>
      <c r="E60" s="60"/>
      <c r="F60" s="60"/>
      <c r="G60" s="61" t="s">
        <v>35</v>
      </c>
      <c r="H60" s="62"/>
      <c r="I60" s="63"/>
      <c r="J60" s="64"/>
      <c r="K60" s="206">
        <v>3243</v>
      </c>
      <c r="L60" s="209">
        <v>2505</v>
      </c>
      <c r="M60" s="69">
        <v>1396</v>
      </c>
      <c r="N60" s="67"/>
      <c r="O60" s="67"/>
      <c r="P60" s="67"/>
      <c r="Q60" s="67"/>
      <c r="R60" s="68"/>
      <c r="S60" s="68"/>
      <c r="T60" s="67">
        <f t="shared" si="21"/>
        <v>7144</v>
      </c>
      <c r="U60" s="67"/>
      <c r="V60" s="67">
        <f t="shared" si="22"/>
        <v>0</v>
      </c>
      <c r="W60" s="67"/>
    </row>
    <row r="61" spans="1:23" ht="17.25" customHeight="1" outlineLevel="2">
      <c r="A61" s="48"/>
      <c r="B61" s="58"/>
      <c r="C61" s="59"/>
      <c r="D61" s="59"/>
      <c r="E61" s="60"/>
      <c r="F61" s="60"/>
      <c r="G61" s="61" t="s">
        <v>36</v>
      </c>
      <c r="H61" s="62"/>
      <c r="I61" s="63"/>
      <c r="J61" s="64"/>
      <c r="K61" s="206">
        <v>752</v>
      </c>
      <c r="L61" s="209">
        <v>1355</v>
      </c>
      <c r="M61" s="69"/>
      <c r="N61" s="67"/>
      <c r="O61" s="67"/>
      <c r="P61" s="67"/>
      <c r="Q61" s="67"/>
      <c r="R61" s="68"/>
      <c r="S61" s="68"/>
      <c r="T61" s="67">
        <f t="shared" si="21"/>
        <v>2107</v>
      </c>
      <c r="U61" s="67"/>
      <c r="V61" s="67">
        <f t="shared" si="22"/>
        <v>0</v>
      </c>
      <c r="W61" s="67"/>
    </row>
    <row r="62" spans="1:23" ht="17.25" customHeight="1" outlineLevel="2">
      <c r="A62" s="48"/>
      <c r="B62" s="58"/>
      <c r="C62" s="59"/>
      <c r="D62" s="59"/>
      <c r="E62" s="60"/>
      <c r="F62" s="60"/>
      <c r="G62" s="61" t="s">
        <v>37</v>
      </c>
      <c r="H62" s="62"/>
      <c r="I62" s="63"/>
      <c r="J62" s="64"/>
      <c r="K62" s="212"/>
      <c r="L62" s="209"/>
      <c r="M62" s="69"/>
      <c r="N62" s="67"/>
      <c r="O62" s="67"/>
      <c r="P62" s="67"/>
      <c r="Q62" s="67"/>
      <c r="R62" s="68"/>
      <c r="S62" s="68"/>
      <c r="T62" s="67">
        <f t="shared" si="21"/>
        <v>0</v>
      </c>
      <c r="U62" s="67"/>
      <c r="V62" s="67">
        <f t="shared" si="22"/>
        <v>0</v>
      </c>
      <c r="W62" s="67"/>
    </row>
    <row r="63" spans="1:23" ht="17.25" customHeight="1" outlineLevel="1">
      <c r="A63" s="76"/>
      <c r="B63" s="77">
        <v>2.2000000000000002</v>
      </c>
      <c r="C63" s="358" t="s">
        <v>40</v>
      </c>
      <c r="D63" s="340"/>
      <c r="E63" s="89">
        <v>45786</v>
      </c>
      <c r="F63" s="79">
        <v>45823</v>
      </c>
      <c r="G63" s="90"/>
      <c r="H63" s="81"/>
      <c r="I63" s="82"/>
      <c r="J63" s="83"/>
      <c r="K63" s="96"/>
      <c r="L63" s="203"/>
      <c r="M63" s="225"/>
      <c r="N63" s="226"/>
      <c r="O63" s="86"/>
      <c r="P63" s="86"/>
      <c r="Q63" s="86"/>
      <c r="R63" s="86"/>
      <c r="S63" s="86"/>
      <c r="T63" s="91">
        <f t="shared" ref="T63:W63" si="23">SUM(T64:T69)</f>
        <v>47800.276511762269</v>
      </c>
      <c r="U63" s="91">
        <f t="shared" si="23"/>
        <v>0</v>
      </c>
      <c r="V63" s="91">
        <f t="shared" si="23"/>
        <v>0</v>
      </c>
      <c r="W63" s="91">
        <f t="shared" si="23"/>
        <v>0</v>
      </c>
    </row>
    <row r="64" spans="1:23" ht="17.25" customHeight="1" outlineLevel="2">
      <c r="A64" s="48"/>
      <c r="B64" s="58"/>
      <c r="C64" s="59"/>
      <c r="D64" s="59"/>
      <c r="E64" s="60"/>
      <c r="F64" s="60"/>
      <c r="G64" s="61" t="s">
        <v>32</v>
      </c>
      <c r="H64" s="62"/>
      <c r="I64" s="63"/>
      <c r="J64" s="64"/>
      <c r="K64" s="227">
        <v>4813</v>
      </c>
      <c r="L64" s="228">
        <v>16341</v>
      </c>
      <c r="M64" s="110">
        <v>4993.2765117622703</v>
      </c>
      <c r="N64" s="67"/>
      <c r="O64" s="67"/>
      <c r="P64" s="67"/>
      <c r="Q64" s="67"/>
      <c r="R64" s="68"/>
      <c r="S64" s="68"/>
      <c r="T64" s="67">
        <f t="shared" ref="T64:T69" si="24">SUM(H64:M64)</f>
        <v>26147.276511762269</v>
      </c>
      <c r="U64" s="67"/>
      <c r="V64" s="67">
        <f t="shared" ref="V64:V69" si="25">SUM(N64:S64)</f>
        <v>0</v>
      </c>
      <c r="W64" s="67"/>
    </row>
    <row r="65" spans="1:23" ht="17.25" customHeight="1" outlineLevel="2">
      <c r="A65" s="48"/>
      <c r="B65" s="58"/>
      <c r="C65" s="59"/>
      <c r="D65" s="59"/>
      <c r="E65" s="60"/>
      <c r="F65" s="60"/>
      <c r="G65" s="61" t="s">
        <v>33</v>
      </c>
      <c r="H65" s="62"/>
      <c r="I65" s="63"/>
      <c r="J65" s="64"/>
      <c r="K65" s="206"/>
      <c r="L65" s="209">
        <v>3343</v>
      </c>
      <c r="M65" s="69">
        <v>2878</v>
      </c>
      <c r="N65" s="67"/>
      <c r="O65" s="67"/>
      <c r="P65" s="67"/>
      <c r="Q65" s="67"/>
      <c r="R65" s="68"/>
      <c r="S65" s="68"/>
      <c r="T65" s="67">
        <f t="shared" si="24"/>
        <v>6221</v>
      </c>
      <c r="U65" s="67"/>
      <c r="V65" s="67">
        <f t="shared" si="25"/>
        <v>0</v>
      </c>
      <c r="W65" s="67"/>
    </row>
    <row r="66" spans="1:23" ht="17.25" customHeight="1" outlineLevel="2">
      <c r="A66" s="48"/>
      <c r="B66" s="58"/>
      <c r="C66" s="59"/>
      <c r="D66" s="59"/>
      <c r="E66" s="60"/>
      <c r="F66" s="60"/>
      <c r="G66" s="61" t="s">
        <v>34</v>
      </c>
      <c r="H66" s="62"/>
      <c r="I66" s="63"/>
      <c r="J66" s="64"/>
      <c r="K66" s="206"/>
      <c r="L66" s="210">
        <v>2507</v>
      </c>
      <c r="M66" s="92">
        <v>1610</v>
      </c>
      <c r="N66" s="67"/>
      <c r="O66" s="67"/>
      <c r="P66" s="67"/>
      <c r="Q66" s="67"/>
      <c r="R66" s="68"/>
      <c r="S66" s="68"/>
      <c r="T66" s="67">
        <f t="shared" si="24"/>
        <v>4117</v>
      </c>
      <c r="U66" s="67"/>
      <c r="V66" s="67">
        <f t="shared" si="25"/>
        <v>0</v>
      </c>
      <c r="W66" s="67"/>
    </row>
    <row r="67" spans="1:23" ht="17.25" customHeight="1" outlineLevel="2">
      <c r="A67" s="48"/>
      <c r="B67" s="58"/>
      <c r="C67" s="59"/>
      <c r="D67" s="59"/>
      <c r="E67" s="60"/>
      <c r="F67" s="60"/>
      <c r="G67" s="61" t="s">
        <v>35</v>
      </c>
      <c r="H67" s="62"/>
      <c r="I67" s="63"/>
      <c r="J67" s="64"/>
      <c r="K67" s="206"/>
      <c r="L67" s="210">
        <v>6746</v>
      </c>
      <c r="M67" s="92">
        <v>4569</v>
      </c>
      <c r="N67" s="67"/>
      <c r="O67" s="67"/>
      <c r="P67" s="67"/>
      <c r="Q67" s="67"/>
      <c r="R67" s="68"/>
      <c r="S67" s="68"/>
      <c r="T67" s="67">
        <f t="shared" si="24"/>
        <v>11315</v>
      </c>
      <c r="U67" s="67"/>
      <c r="V67" s="67">
        <f t="shared" si="25"/>
        <v>0</v>
      </c>
      <c r="W67" s="67"/>
    </row>
    <row r="68" spans="1:23" ht="17.25" customHeight="1" outlineLevel="2">
      <c r="A68" s="48"/>
      <c r="B68" s="58"/>
      <c r="C68" s="59"/>
      <c r="D68" s="59"/>
      <c r="E68" s="60"/>
      <c r="F68" s="60"/>
      <c r="G68" s="61" t="s">
        <v>36</v>
      </c>
      <c r="H68" s="62"/>
      <c r="I68" s="63"/>
      <c r="J68" s="64"/>
      <c r="K68" s="206"/>
      <c r="L68" s="209"/>
      <c r="M68" s="69"/>
      <c r="N68" s="67"/>
      <c r="O68" s="67"/>
      <c r="P68" s="67"/>
      <c r="Q68" s="67"/>
      <c r="R68" s="68"/>
      <c r="S68" s="68"/>
      <c r="T68" s="67">
        <f t="shared" si="24"/>
        <v>0</v>
      </c>
      <c r="U68" s="67"/>
      <c r="V68" s="67">
        <f t="shared" si="25"/>
        <v>0</v>
      </c>
      <c r="W68" s="67">
        <f>SUM(L68:S68)</f>
        <v>0</v>
      </c>
    </row>
    <row r="69" spans="1:23" ht="17.25" customHeight="1" outlineLevel="2">
      <c r="A69" s="48"/>
      <c r="B69" s="58"/>
      <c r="C69" s="59"/>
      <c r="D69" s="59"/>
      <c r="E69" s="60"/>
      <c r="F69" s="60"/>
      <c r="G69" s="61" t="s">
        <v>37</v>
      </c>
      <c r="H69" s="62"/>
      <c r="I69" s="63"/>
      <c r="J69" s="64"/>
      <c r="K69" s="212"/>
      <c r="L69" s="209"/>
      <c r="M69" s="69"/>
      <c r="N69" s="67"/>
      <c r="O69" s="67"/>
      <c r="P69" s="67"/>
      <c r="Q69" s="67"/>
      <c r="R69" s="68"/>
      <c r="S69" s="68"/>
      <c r="T69" s="67">
        <f t="shared" si="24"/>
        <v>0</v>
      </c>
      <c r="U69" s="67"/>
      <c r="V69" s="67">
        <f t="shared" si="25"/>
        <v>0</v>
      </c>
      <c r="W69" s="67"/>
    </row>
    <row r="70" spans="1:23" ht="17.25" customHeight="1" outlineLevel="1">
      <c r="A70" s="76"/>
      <c r="B70" s="77">
        <v>2.2999999999999998</v>
      </c>
      <c r="C70" s="358" t="s">
        <v>41</v>
      </c>
      <c r="D70" s="340"/>
      <c r="E70" s="78">
        <v>45845</v>
      </c>
      <c r="F70" s="77" t="s">
        <v>77</v>
      </c>
      <c r="G70" s="80"/>
      <c r="H70" s="94"/>
      <c r="I70" s="95"/>
      <c r="J70" s="96"/>
      <c r="K70" s="96"/>
      <c r="L70" s="203"/>
      <c r="M70" s="204"/>
      <c r="N70" s="205"/>
      <c r="O70" s="99"/>
      <c r="P70" s="99"/>
      <c r="Q70" s="99"/>
      <c r="R70" s="99"/>
      <c r="S70" s="99"/>
      <c r="T70" s="91">
        <f t="shared" ref="T70:W70" si="26">SUM(T71:T76)</f>
        <v>17964</v>
      </c>
      <c r="U70" s="91">
        <f t="shared" si="26"/>
        <v>0</v>
      </c>
      <c r="V70" s="91">
        <f t="shared" si="26"/>
        <v>22902</v>
      </c>
      <c r="W70" s="91">
        <f t="shared" si="26"/>
        <v>0</v>
      </c>
    </row>
    <row r="71" spans="1:23" ht="17.25" customHeight="1" outlineLevel="2">
      <c r="A71" s="48"/>
      <c r="B71" s="58"/>
      <c r="C71" s="59"/>
      <c r="D71" s="59"/>
      <c r="E71" s="60"/>
      <c r="F71" s="60"/>
      <c r="G71" s="61" t="s">
        <v>32</v>
      </c>
      <c r="H71" s="62"/>
      <c r="I71" s="63"/>
      <c r="J71" s="64"/>
      <c r="K71" s="206"/>
      <c r="L71" s="207"/>
      <c r="M71" s="208"/>
      <c r="N71" s="103">
        <v>4602</v>
      </c>
      <c r="O71" s="103">
        <v>4602</v>
      </c>
      <c r="P71" s="67"/>
      <c r="Q71" s="67"/>
      <c r="R71" s="68"/>
      <c r="S71" s="68"/>
      <c r="T71" s="67">
        <f t="shared" ref="T71:T76" si="27">SUM(H71:N71)</f>
        <v>4602</v>
      </c>
      <c r="U71" s="67"/>
      <c r="V71" s="67">
        <f t="shared" ref="V71:V76" si="28">SUM(O71:S71)</f>
        <v>4602</v>
      </c>
      <c r="W71" s="67"/>
    </row>
    <row r="72" spans="1:23" ht="17.25" customHeight="1" outlineLevel="2">
      <c r="A72" s="48"/>
      <c r="B72" s="58"/>
      <c r="C72" s="59"/>
      <c r="D72" s="59"/>
      <c r="E72" s="60"/>
      <c r="F72" s="60"/>
      <c r="G72" s="61" t="s">
        <v>33</v>
      </c>
      <c r="H72" s="62"/>
      <c r="I72" s="63"/>
      <c r="J72" s="64"/>
      <c r="K72" s="206"/>
      <c r="L72" s="209"/>
      <c r="M72" s="69"/>
      <c r="N72" s="216">
        <v>4854</v>
      </c>
      <c r="O72" s="67">
        <v>6880</v>
      </c>
      <c r="P72" s="229"/>
      <c r="Q72" s="67"/>
      <c r="R72" s="68"/>
      <c r="S72" s="68"/>
      <c r="T72" s="67">
        <f t="shared" si="27"/>
        <v>4854</v>
      </c>
      <c r="U72" s="67"/>
      <c r="V72" s="67">
        <f t="shared" si="28"/>
        <v>6880</v>
      </c>
      <c r="W72" s="67"/>
    </row>
    <row r="73" spans="1:23" ht="17.25" customHeight="1" outlineLevel="2">
      <c r="A73" s="48"/>
      <c r="B73" s="58"/>
      <c r="C73" s="59"/>
      <c r="D73" s="59"/>
      <c r="E73" s="60"/>
      <c r="F73" s="60"/>
      <c r="G73" s="61" t="s">
        <v>34</v>
      </c>
      <c r="H73" s="62"/>
      <c r="I73" s="63"/>
      <c r="J73" s="64"/>
      <c r="K73" s="206"/>
      <c r="L73" s="210"/>
      <c r="M73" s="92"/>
      <c r="N73" s="216">
        <v>4827</v>
      </c>
      <c r="O73" s="67">
        <v>7320</v>
      </c>
      <c r="P73" s="229"/>
      <c r="Q73" s="67"/>
      <c r="R73" s="68"/>
      <c r="S73" s="68"/>
      <c r="T73" s="67">
        <f t="shared" si="27"/>
        <v>4827</v>
      </c>
      <c r="U73" s="67"/>
      <c r="V73" s="67">
        <f t="shared" si="28"/>
        <v>7320</v>
      </c>
      <c r="W73" s="67"/>
    </row>
    <row r="74" spans="1:23" ht="17.25" customHeight="1" outlineLevel="2">
      <c r="A74" s="48"/>
      <c r="B74" s="58"/>
      <c r="C74" s="59"/>
      <c r="D74" s="59"/>
      <c r="E74" s="60"/>
      <c r="F74" s="60"/>
      <c r="G74" s="61" t="s">
        <v>35</v>
      </c>
      <c r="H74" s="62"/>
      <c r="I74" s="63"/>
      <c r="J74" s="64"/>
      <c r="K74" s="206"/>
      <c r="L74" s="211"/>
      <c r="M74" s="104"/>
      <c r="N74" s="216">
        <v>3681</v>
      </c>
      <c r="O74" s="67">
        <v>4100</v>
      </c>
      <c r="P74" s="229"/>
      <c r="Q74" s="67"/>
      <c r="R74" s="68"/>
      <c r="S74" s="68"/>
      <c r="T74" s="67">
        <f t="shared" si="27"/>
        <v>3681</v>
      </c>
      <c r="U74" s="67"/>
      <c r="V74" s="67">
        <f t="shared" si="28"/>
        <v>4100</v>
      </c>
      <c r="W74" s="67"/>
    </row>
    <row r="75" spans="1:23" ht="17.25" customHeight="1" outlineLevel="2">
      <c r="A75" s="48"/>
      <c r="B75" s="58"/>
      <c r="C75" s="59"/>
      <c r="D75" s="59"/>
      <c r="E75" s="60"/>
      <c r="F75" s="60"/>
      <c r="G75" s="61" t="s">
        <v>36</v>
      </c>
      <c r="H75" s="62"/>
      <c r="I75" s="63"/>
      <c r="J75" s="64"/>
      <c r="K75" s="206"/>
      <c r="L75" s="209"/>
      <c r="M75" s="69"/>
      <c r="N75" s="67"/>
      <c r="O75" s="67"/>
      <c r="P75" s="67"/>
      <c r="Q75" s="67"/>
      <c r="R75" s="68"/>
      <c r="S75" s="68"/>
      <c r="T75" s="67">
        <f t="shared" si="27"/>
        <v>0</v>
      </c>
      <c r="U75" s="67"/>
      <c r="V75" s="67">
        <f t="shared" si="28"/>
        <v>0</v>
      </c>
      <c r="W75" s="67">
        <f>SUM(L75:S75)</f>
        <v>0</v>
      </c>
    </row>
    <row r="76" spans="1:23" ht="17.25" customHeight="1" outlineLevel="2">
      <c r="A76" s="48"/>
      <c r="B76" s="58"/>
      <c r="C76" s="59"/>
      <c r="D76" s="59"/>
      <c r="E76" s="60"/>
      <c r="F76" s="60"/>
      <c r="G76" s="61" t="s">
        <v>37</v>
      </c>
      <c r="H76" s="62"/>
      <c r="I76" s="63"/>
      <c r="J76" s="64"/>
      <c r="K76" s="212"/>
      <c r="L76" s="209"/>
      <c r="M76" s="69"/>
      <c r="N76" s="67"/>
      <c r="O76" s="67"/>
      <c r="P76" s="67"/>
      <c r="Q76" s="67"/>
      <c r="R76" s="68"/>
      <c r="S76" s="68"/>
      <c r="T76" s="67">
        <f t="shared" si="27"/>
        <v>0</v>
      </c>
      <c r="U76" s="67"/>
      <c r="V76" s="67">
        <f t="shared" si="28"/>
        <v>0</v>
      </c>
      <c r="W76" s="67"/>
    </row>
    <row r="77" spans="1:23" ht="21" customHeight="1">
      <c r="A77" s="19"/>
      <c r="B77" s="39">
        <v>3</v>
      </c>
      <c r="C77" s="40" t="s">
        <v>44</v>
      </c>
      <c r="D77" s="41"/>
      <c r="E77" s="71"/>
      <c r="F77" s="71"/>
      <c r="G77" s="72"/>
      <c r="H77" s="111"/>
      <c r="I77" s="112"/>
      <c r="J77" s="113"/>
      <c r="K77" s="230"/>
      <c r="L77" s="231"/>
      <c r="M77" s="111"/>
      <c r="N77" s="111"/>
      <c r="O77" s="111"/>
      <c r="P77" s="111"/>
      <c r="Q77" s="111"/>
      <c r="R77" s="111"/>
      <c r="S77" s="111"/>
      <c r="T77" s="115">
        <f t="shared" ref="T77:W77" si="29">T78+T85</f>
        <v>99298.841872759906</v>
      </c>
      <c r="U77" s="115">
        <f t="shared" si="29"/>
        <v>0</v>
      </c>
      <c r="V77" s="115">
        <f t="shared" si="29"/>
        <v>95652</v>
      </c>
      <c r="W77" s="115">
        <f t="shared" si="29"/>
        <v>700</v>
      </c>
    </row>
    <row r="78" spans="1:23" ht="17.25" customHeight="1" outlineLevel="1">
      <c r="A78" s="48"/>
      <c r="B78" s="49">
        <v>3.1</v>
      </c>
      <c r="C78" s="339" t="s">
        <v>145</v>
      </c>
      <c r="D78" s="340"/>
      <c r="E78" s="116">
        <v>45748</v>
      </c>
      <c r="F78" s="50">
        <v>46021</v>
      </c>
      <c r="G78" s="117"/>
      <c r="H78" s="118"/>
      <c r="I78" s="118"/>
      <c r="J78" s="119"/>
      <c r="K78" s="138"/>
      <c r="L78" s="232"/>
      <c r="M78" s="121"/>
      <c r="N78" s="118"/>
      <c r="O78" s="118"/>
      <c r="P78" s="118"/>
      <c r="Q78" s="118"/>
      <c r="R78" s="118"/>
      <c r="S78" s="118"/>
      <c r="T78" s="91">
        <f t="shared" ref="T78:W78" si="30">SUM(T79:T84)</f>
        <v>63632.726862764146</v>
      </c>
      <c r="U78" s="122">
        <f t="shared" si="30"/>
        <v>0</v>
      </c>
      <c r="V78" s="91">
        <f t="shared" si="30"/>
        <v>72453</v>
      </c>
      <c r="W78" s="91">
        <f t="shared" si="30"/>
        <v>700</v>
      </c>
    </row>
    <row r="79" spans="1:23" ht="17.25" customHeight="1" outlineLevel="2">
      <c r="A79" s="48"/>
      <c r="B79" s="58"/>
      <c r="C79" s="123"/>
      <c r="D79" s="123"/>
      <c r="E79" s="124"/>
      <c r="F79" s="60"/>
      <c r="G79" s="61" t="s">
        <v>32</v>
      </c>
      <c r="H79" s="233">
        <v>3289</v>
      </c>
      <c r="I79" s="233">
        <v>3289</v>
      </c>
      <c r="J79" s="233">
        <v>3017</v>
      </c>
      <c r="K79" s="126"/>
      <c r="L79" s="234"/>
      <c r="M79" s="128"/>
      <c r="N79" s="125"/>
      <c r="O79" s="125"/>
      <c r="P79" s="129">
        <v>5662</v>
      </c>
      <c r="Q79" s="129">
        <v>4502</v>
      </c>
      <c r="R79" s="108">
        <v>21789</v>
      </c>
      <c r="S79" s="125"/>
      <c r="T79" s="130">
        <f t="shared" ref="T79:T84" si="31">SUM(H79:N79)</f>
        <v>9595</v>
      </c>
      <c r="U79" s="131"/>
      <c r="V79" s="130">
        <f t="shared" ref="V79:V82" si="32">SUM(O79:S79)</f>
        <v>31953</v>
      </c>
      <c r="W79" s="130"/>
    </row>
    <row r="80" spans="1:23" ht="17.25" customHeight="1" outlineLevel="2">
      <c r="A80" s="48"/>
      <c r="B80" s="58"/>
      <c r="C80" s="123"/>
      <c r="D80" s="123"/>
      <c r="E80" s="124"/>
      <c r="F80" s="60"/>
      <c r="G80" s="61" t="s">
        <v>33</v>
      </c>
      <c r="H80" s="92"/>
      <c r="I80" s="92"/>
      <c r="J80" s="144"/>
      <c r="K80" s="206"/>
      <c r="L80" s="209">
        <v>1857</v>
      </c>
      <c r="M80" s="69">
        <v>2942</v>
      </c>
      <c r="N80" s="235">
        <v>1808</v>
      </c>
      <c r="O80" s="236">
        <v>3600</v>
      </c>
      <c r="P80" s="236">
        <v>4200</v>
      </c>
      <c r="Q80" s="237">
        <v>3100</v>
      </c>
      <c r="R80" s="237">
        <v>3100</v>
      </c>
      <c r="S80" s="125"/>
      <c r="T80" s="130">
        <f t="shared" si="31"/>
        <v>6607</v>
      </c>
      <c r="U80" s="131"/>
      <c r="V80" s="130">
        <f t="shared" si="32"/>
        <v>14000</v>
      </c>
      <c r="W80" s="130"/>
    </row>
    <row r="81" spans="1:23" ht="17.25" customHeight="1" outlineLevel="2">
      <c r="A81" s="48"/>
      <c r="B81" s="58"/>
      <c r="C81" s="123"/>
      <c r="D81" s="123"/>
      <c r="E81" s="124"/>
      <c r="F81" s="60"/>
      <c r="G81" s="61" t="s">
        <v>34</v>
      </c>
      <c r="H81" s="92">
        <v>2616</v>
      </c>
      <c r="I81" s="92">
        <v>2444</v>
      </c>
      <c r="J81" s="144">
        <v>3577</v>
      </c>
      <c r="K81" s="206">
        <v>1637</v>
      </c>
      <c r="L81" s="210">
        <v>2334</v>
      </c>
      <c r="M81" s="92">
        <v>2901</v>
      </c>
      <c r="N81" s="238">
        <v>4918</v>
      </c>
      <c r="O81" s="239">
        <v>4000</v>
      </c>
      <c r="P81" s="239">
        <v>3000</v>
      </c>
      <c r="Q81" s="240">
        <v>1500</v>
      </c>
      <c r="R81" s="240">
        <v>1500</v>
      </c>
      <c r="S81" s="125"/>
      <c r="T81" s="130">
        <f t="shared" si="31"/>
        <v>20427</v>
      </c>
      <c r="U81" s="131"/>
      <c r="V81" s="130">
        <f t="shared" si="32"/>
        <v>10000</v>
      </c>
      <c r="W81" s="130"/>
    </row>
    <row r="82" spans="1:23" ht="17.25" customHeight="1" outlineLevel="2">
      <c r="A82" s="48"/>
      <c r="B82" s="58"/>
      <c r="C82" s="123"/>
      <c r="D82" s="123"/>
      <c r="E82" s="124"/>
      <c r="F82" s="60"/>
      <c r="G82" s="61" t="s">
        <v>35</v>
      </c>
      <c r="H82" s="69">
        <v>3914.9619343194449</v>
      </c>
      <c r="I82" s="69">
        <v>4824.0388990863212</v>
      </c>
      <c r="J82" s="69">
        <v>4586</v>
      </c>
      <c r="K82" s="206">
        <v>3247.7260293583799</v>
      </c>
      <c r="L82" s="210">
        <v>2247</v>
      </c>
      <c r="M82" s="92">
        <v>5006</v>
      </c>
      <c r="N82" s="238">
        <v>3178</v>
      </c>
      <c r="O82" s="239">
        <v>3500</v>
      </c>
      <c r="P82" s="239">
        <v>6000</v>
      </c>
      <c r="Q82" s="240">
        <v>3500</v>
      </c>
      <c r="R82" s="240">
        <v>3500</v>
      </c>
      <c r="S82" s="125"/>
      <c r="T82" s="130">
        <f t="shared" si="31"/>
        <v>27003.726862764146</v>
      </c>
      <c r="U82" s="131"/>
      <c r="V82" s="130">
        <f t="shared" si="32"/>
        <v>16500</v>
      </c>
      <c r="W82" s="130"/>
    </row>
    <row r="83" spans="1:23" ht="17.25" customHeight="1" outlineLevel="2">
      <c r="A83" s="48"/>
      <c r="B83" s="58"/>
      <c r="C83" s="123"/>
      <c r="D83" s="123"/>
      <c r="E83" s="124"/>
      <c r="F83" s="60"/>
      <c r="G83" s="61" t="s">
        <v>36</v>
      </c>
      <c r="H83" s="125"/>
      <c r="I83" s="125"/>
      <c r="J83" s="126"/>
      <c r="K83" s="126"/>
      <c r="L83" s="234"/>
      <c r="M83" s="128"/>
      <c r="N83" s="125"/>
      <c r="O83" s="125"/>
      <c r="P83" s="130"/>
      <c r="Q83" s="125"/>
      <c r="R83" s="219">
        <v>700</v>
      </c>
      <c r="S83" s="125"/>
      <c r="T83" s="130">
        <f t="shared" si="31"/>
        <v>0</v>
      </c>
      <c r="U83" s="131"/>
      <c r="V83" s="130"/>
      <c r="W83" s="130">
        <f>SUM(M83:S83)</f>
        <v>700</v>
      </c>
    </row>
    <row r="84" spans="1:23" ht="17.25" customHeight="1" outlineLevel="2">
      <c r="A84" s="48"/>
      <c r="B84" s="58"/>
      <c r="C84" s="123"/>
      <c r="D84" s="123"/>
      <c r="E84" s="124"/>
      <c r="F84" s="60"/>
      <c r="G84" s="132" t="s">
        <v>37</v>
      </c>
      <c r="H84" s="125"/>
      <c r="I84" s="125"/>
      <c r="J84" s="126"/>
      <c r="K84" s="126"/>
      <c r="L84" s="234"/>
      <c r="M84" s="128"/>
      <c r="N84" s="125"/>
      <c r="O84" s="125"/>
      <c r="P84" s="125"/>
      <c r="Q84" s="125"/>
      <c r="R84" s="125"/>
      <c r="S84" s="125"/>
      <c r="T84" s="130">
        <f t="shared" si="31"/>
        <v>0</v>
      </c>
      <c r="U84" s="131"/>
      <c r="V84" s="130"/>
      <c r="W84" s="130"/>
    </row>
    <row r="85" spans="1:23" ht="17.25" customHeight="1" outlineLevel="1">
      <c r="A85" s="48"/>
      <c r="B85" s="49">
        <v>3.2</v>
      </c>
      <c r="C85" s="359" t="s">
        <v>146</v>
      </c>
      <c r="D85" s="360"/>
      <c r="E85" s="50">
        <v>45818</v>
      </c>
      <c r="F85" s="50">
        <v>46021</v>
      </c>
      <c r="G85" s="135"/>
      <c r="H85" s="136"/>
      <c r="I85" s="137"/>
      <c r="J85" s="138"/>
      <c r="K85" s="138"/>
      <c r="L85" s="232"/>
      <c r="M85" s="140"/>
      <c r="N85" s="141"/>
      <c r="O85" s="141"/>
      <c r="P85" s="141"/>
      <c r="Q85" s="141"/>
      <c r="R85" s="141"/>
      <c r="S85" s="141"/>
      <c r="T85" s="142">
        <f t="shared" ref="T85:W85" si="33">SUM(T86:T91)</f>
        <v>35666.115009995759</v>
      </c>
      <c r="U85" s="142">
        <f t="shared" si="33"/>
        <v>0</v>
      </c>
      <c r="V85" s="142">
        <f t="shared" si="33"/>
        <v>23199</v>
      </c>
      <c r="W85" s="142">
        <f t="shared" si="33"/>
        <v>0</v>
      </c>
    </row>
    <row r="86" spans="1:23" ht="17.25" customHeight="1" outlineLevel="2">
      <c r="A86" s="48"/>
      <c r="B86" s="58"/>
      <c r="C86" s="59"/>
      <c r="D86" s="59"/>
      <c r="E86" s="60"/>
      <c r="F86" s="60"/>
      <c r="G86" s="61" t="s">
        <v>32</v>
      </c>
      <c r="H86" s="62"/>
      <c r="I86" s="63"/>
      <c r="J86" s="224">
        <v>1994.0383366652522</v>
      </c>
      <c r="K86" s="227">
        <v>1994.0383366652522</v>
      </c>
      <c r="L86" s="228">
        <v>1994.0383366652522</v>
      </c>
      <c r="M86" s="110">
        <f>9186+1994</f>
        <v>11180</v>
      </c>
      <c r="N86" s="108">
        <v>8379</v>
      </c>
      <c r="O86" s="108">
        <v>9367</v>
      </c>
      <c r="P86" s="108">
        <v>8832</v>
      </c>
      <c r="Q86" s="67" t="s">
        <v>147</v>
      </c>
      <c r="R86" s="68"/>
      <c r="S86" s="68"/>
      <c r="T86" s="67">
        <f t="shared" ref="T86:T91" si="34">SUM(H86:N86)</f>
        <v>25541.115009995756</v>
      </c>
      <c r="U86" s="67"/>
      <c r="V86" s="67">
        <f t="shared" ref="V86:V91" si="35">SUM(O86:S86)</f>
        <v>18199</v>
      </c>
      <c r="W86" s="67"/>
    </row>
    <row r="87" spans="1:23" ht="17.25" customHeight="1" outlineLevel="2">
      <c r="A87" s="48"/>
      <c r="B87" s="58"/>
      <c r="C87" s="59"/>
      <c r="D87" s="59"/>
      <c r="E87" s="60"/>
      <c r="F87" s="60"/>
      <c r="G87" s="61" t="s">
        <v>33</v>
      </c>
      <c r="H87" s="62"/>
      <c r="I87" s="63"/>
      <c r="J87" s="64"/>
      <c r="K87" s="206"/>
      <c r="L87" s="209"/>
      <c r="M87" s="69">
        <v>704</v>
      </c>
      <c r="N87" s="216">
        <v>435</v>
      </c>
      <c r="O87" s="67">
        <v>1000</v>
      </c>
      <c r="P87" s="67">
        <v>1000</v>
      </c>
      <c r="Q87" s="67">
        <v>1000</v>
      </c>
      <c r="R87" s="67">
        <v>1000</v>
      </c>
      <c r="S87" s="67">
        <v>1000</v>
      </c>
      <c r="T87" s="67">
        <f t="shared" si="34"/>
        <v>1139</v>
      </c>
      <c r="U87" s="67"/>
      <c r="V87" s="67">
        <f t="shared" si="35"/>
        <v>5000</v>
      </c>
      <c r="W87" s="67"/>
    </row>
    <row r="88" spans="1:23" ht="17.25" customHeight="1" outlineLevel="2">
      <c r="A88" s="48"/>
      <c r="B88" s="58"/>
      <c r="C88" s="59"/>
      <c r="D88" s="59"/>
      <c r="E88" s="60"/>
      <c r="F88" s="60"/>
      <c r="G88" s="61" t="s">
        <v>34</v>
      </c>
      <c r="H88" s="69"/>
      <c r="I88" s="63"/>
      <c r="J88" s="241">
        <v>1023</v>
      </c>
      <c r="K88" s="206"/>
      <c r="L88" s="210"/>
      <c r="M88" s="92"/>
      <c r="N88" s="242"/>
      <c r="O88" s="242"/>
      <c r="P88" s="242"/>
      <c r="Q88" s="67"/>
      <c r="R88" s="68"/>
      <c r="S88" s="68"/>
      <c r="T88" s="67">
        <f t="shared" si="34"/>
        <v>1023</v>
      </c>
      <c r="U88" s="67"/>
      <c r="V88" s="67">
        <f t="shared" si="35"/>
        <v>0</v>
      </c>
      <c r="W88" s="67"/>
    </row>
    <row r="89" spans="1:23" ht="17.25" customHeight="1" outlineLevel="2">
      <c r="A89" s="48"/>
      <c r="B89" s="58"/>
      <c r="C89" s="59"/>
      <c r="D89" s="59"/>
      <c r="E89" s="60"/>
      <c r="F89" s="60"/>
      <c r="G89" s="61" t="s">
        <v>35</v>
      </c>
      <c r="H89" s="69">
        <v>1315</v>
      </c>
      <c r="I89" s="69">
        <v>730</v>
      </c>
      <c r="J89" s="149">
        <v>1788</v>
      </c>
      <c r="K89" s="206"/>
      <c r="L89" s="210">
        <v>675</v>
      </c>
      <c r="M89" s="92">
        <f>291+1605</f>
        <v>1896</v>
      </c>
      <c r="N89" s="243">
        <v>787</v>
      </c>
      <c r="O89" s="242"/>
      <c r="P89" s="242"/>
      <c r="Q89" s="67"/>
      <c r="R89" s="68"/>
      <c r="S89" s="68"/>
      <c r="T89" s="67">
        <f t="shared" si="34"/>
        <v>7191</v>
      </c>
      <c r="U89" s="67"/>
      <c r="V89" s="67">
        <f t="shared" si="35"/>
        <v>0</v>
      </c>
      <c r="W89" s="67"/>
    </row>
    <row r="90" spans="1:23" ht="17.25" customHeight="1" outlineLevel="2">
      <c r="A90" s="48"/>
      <c r="B90" s="58"/>
      <c r="C90" s="59"/>
      <c r="D90" s="59"/>
      <c r="E90" s="60"/>
      <c r="F90" s="60"/>
      <c r="G90" s="61" t="s">
        <v>36</v>
      </c>
      <c r="H90" s="62"/>
      <c r="I90" s="63"/>
      <c r="J90" s="149"/>
      <c r="K90" s="206"/>
      <c r="L90" s="209"/>
      <c r="M90" s="69"/>
      <c r="N90" s="67"/>
      <c r="O90" s="67"/>
      <c r="P90" s="67"/>
      <c r="Q90" s="67"/>
      <c r="R90" s="68"/>
      <c r="S90" s="68"/>
      <c r="T90" s="67">
        <f t="shared" si="34"/>
        <v>0</v>
      </c>
      <c r="U90" s="67"/>
      <c r="V90" s="67">
        <f t="shared" si="35"/>
        <v>0</v>
      </c>
      <c r="W90" s="67">
        <f>SUM(L90:S90)</f>
        <v>0</v>
      </c>
    </row>
    <row r="91" spans="1:23" ht="17.25" customHeight="1" outlineLevel="2">
      <c r="A91" s="48"/>
      <c r="B91" s="58"/>
      <c r="C91" s="59"/>
      <c r="D91" s="59"/>
      <c r="E91" s="60"/>
      <c r="F91" s="60"/>
      <c r="G91" s="61" t="s">
        <v>37</v>
      </c>
      <c r="H91" s="62"/>
      <c r="I91" s="63"/>
      <c r="J91" s="93">
        <v>103</v>
      </c>
      <c r="K91" s="93">
        <v>201</v>
      </c>
      <c r="M91" s="209">
        <v>199</v>
      </c>
      <c r="N91" s="216">
        <f>100+169</f>
        <v>269</v>
      </c>
      <c r="O91" s="67"/>
      <c r="P91" s="67"/>
      <c r="Q91" s="67"/>
      <c r="R91" s="68"/>
      <c r="S91" s="68"/>
      <c r="T91" s="67">
        <f t="shared" si="34"/>
        <v>772</v>
      </c>
      <c r="U91" s="67"/>
      <c r="V91" s="67">
        <f t="shared" si="35"/>
        <v>0</v>
      </c>
      <c r="W91" s="67"/>
    </row>
    <row r="92" spans="1:23" ht="21" customHeight="1">
      <c r="A92" s="19"/>
      <c r="B92" s="39">
        <v>4</v>
      </c>
      <c r="C92" s="40" t="s">
        <v>54</v>
      </c>
      <c r="D92" s="41"/>
      <c r="E92" s="71"/>
      <c r="F92" s="71"/>
      <c r="G92" s="72"/>
      <c r="H92" s="111"/>
      <c r="I92" s="112"/>
      <c r="J92" s="113"/>
      <c r="K92" s="230"/>
      <c r="L92" s="231"/>
      <c r="M92" s="111"/>
      <c r="N92" s="111"/>
      <c r="O92" s="111"/>
      <c r="P92" s="111"/>
      <c r="Q92" s="111"/>
      <c r="R92" s="111"/>
      <c r="S92" s="111"/>
      <c r="T92" s="115">
        <f t="shared" ref="T92:W92" si="36">T93+T100+T107</f>
        <v>54074.208694007146</v>
      </c>
      <c r="U92" s="115">
        <f t="shared" si="36"/>
        <v>0</v>
      </c>
      <c r="V92" s="115">
        <f t="shared" si="36"/>
        <v>33800</v>
      </c>
      <c r="W92" s="115">
        <f t="shared" si="36"/>
        <v>0</v>
      </c>
    </row>
    <row r="93" spans="1:23" ht="17.25" customHeight="1" outlineLevel="1">
      <c r="A93" s="48"/>
      <c r="B93" s="49">
        <v>4.0999999999999996</v>
      </c>
      <c r="C93" s="339" t="s">
        <v>55</v>
      </c>
      <c r="D93" s="340"/>
      <c r="E93" s="50">
        <v>45717</v>
      </c>
      <c r="F93" s="50">
        <v>45807</v>
      </c>
      <c r="G93" s="51"/>
      <c r="H93" s="150"/>
      <c r="I93" s="151"/>
      <c r="J93" s="152"/>
      <c r="K93" s="156"/>
      <c r="L93" s="244"/>
      <c r="M93" s="154"/>
      <c r="N93" s="151"/>
      <c r="O93" s="151"/>
      <c r="P93" s="151"/>
      <c r="Q93" s="151"/>
      <c r="R93" s="151"/>
      <c r="S93" s="151"/>
      <c r="T93" s="142">
        <f t="shared" ref="T93:W93" si="37">SUM(T94:T99)</f>
        <v>36304.208694007146</v>
      </c>
      <c r="U93" s="155">
        <f t="shared" si="37"/>
        <v>0</v>
      </c>
      <c r="V93" s="155">
        <f t="shared" si="37"/>
        <v>0</v>
      </c>
      <c r="W93" s="155">
        <f t="shared" si="37"/>
        <v>0</v>
      </c>
    </row>
    <row r="94" spans="1:23" ht="17.25" customHeight="1" outlineLevel="2">
      <c r="A94" s="48"/>
      <c r="B94" s="58"/>
      <c r="C94" s="59"/>
      <c r="D94" s="59"/>
      <c r="E94" s="60"/>
      <c r="F94" s="60"/>
      <c r="G94" s="61" t="s">
        <v>32</v>
      </c>
      <c r="H94" s="69"/>
      <c r="I94" s="69"/>
      <c r="J94" s="224">
        <v>2338</v>
      </c>
      <c r="K94" s="227">
        <v>7864</v>
      </c>
      <c r="L94" s="209"/>
      <c r="M94" s="69"/>
      <c r="N94" s="69"/>
      <c r="O94" s="69"/>
      <c r="P94" s="69"/>
      <c r="Q94" s="69"/>
      <c r="R94" s="69"/>
      <c r="S94" s="69"/>
      <c r="T94" s="130">
        <f t="shared" ref="T94:T99" si="38">SUM(H94:M94)</f>
        <v>10202</v>
      </c>
      <c r="U94" s="130"/>
      <c r="V94" s="130">
        <f t="shared" ref="V94:V98" si="39">SUM(M94:S94)</f>
        <v>0</v>
      </c>
      <c r="W94" s="130"/>
    </row>
    <row r="95" spans="1:23" ht="17.25" customHeight="1" outlineLevel="2">
      <c r="A95" s="48"/>
      <c r="B95" s="58"/>
      <c r="C95" s="59"/>
      <c r="D95" s="59"/>
      <c r="E95" s="60"/>
      <c r="F95" s="60"/>
      <c r="G95" s="61" t="s">
        <v>33</v>
      </c>
      <c r="H95" s="69"/>
      <c r="I95" s="69"/>
      <c r="J95" s="149"/>
      <c r="K95" s="206">
        <v>2012</v>
      </c>
      <c r="L95" s="209">
        <v>2642</v>
      </c>
      <c r="M95" s="69"/>
      <c r="N95" s="69"/>
      <c r="O95" s="69"/>
      <c r="P95" s="69"/>
      <c r="Q95" s="69"/>
      <c r="R95" s="69"/>
      <c r="S95" s="69"/>
      <c r="T95" s="130">
        <f t="shared" si="38"/>
        <v>4654</v>
      </c>
      <c r="U95" s="130"/>
      <c r="V95" s="130">
        <f t="shared" si="39"/>
        <v>0</v>
      </c>
      <c r="W95" s="130"/>
    </row>
    <row r="96" spans="1:23" ht="17.25" customHeight="1" outlineLevel="2">
      <c r="A96" s="48"/>
      <c r="B96" s="58"/>
      <c r="C96" s="59"/>
      <c r="D96" s="59"/>
      <c r="E96" s="60"/>
      <c r="F96" s="60"/>
      <c r="G96" s="61" t="s">
        <v>34</v>
      </c>
      <c r="H96" s="69"/>
      <c r="I96" s="69"/>
      <c r="J96" s="149">
        <v>2168</v>
      </c>
      <c r="K96" s="206">
        <v>2992</v>
      </c>
      <c r="L96" s="209">
        <v>3497</v>
      </c>
      <c r="M96" s="69"/>
      <c r="N96" s="69"/>
      <c r="O96" s="69"/>
      <c r="P96" s="69"/>
      <c r="Q96" s="69"/>
      <c r="R96" s="69"/>
      <c r="S96" s="69"/>
      <c r="T96" s="130">
        <f t="shared" si="38"/>
        <v>8657</v>
      </c>
      <c r="U96" s="130"/>
      <c r="V96" s="130">
        <f t="shared" si="39"/>
        <v>0</v>
      </c>
      <c r="W96" s="130"/>
    </row>
    <row r="97" spans="1:23" ht="17.25" customHeight="1" outlineLevel="2">
      <c r="A97" s="48"/>
      <c r="B97" s="58"/>
      <c r="C97" s="59"/>
      <c r="D97" s="59"/>
      <c r="E97" s="60"/>
      <c r="F97" s="60"/>
      <c r="G97" s="61" t="s">
        <v>35</v>
      </c>
      <c r="H97" s="69"/>
      <c r="I97" s="69"/>
      <c r="J97" s="149">
        <v>4794.3839699769405</v>
      </c>
      <c r="K97" s="206">
        <v>4406.8247240302071</v>
      </c>
      <c r="L97" s="209">
        <v>3590</v>
      </c>
      <c r="M97" s="69"/>
      <c r="N97" s="69"/>
      <c r="O97" s="69"/>
      <c r="P97" s="69"/>
      <c r="Q97" s="69"/>
      <c r="R97" s="69"/>
      <c r="S97" s="69"/>
      <c r="T97" s="130">
        <f t="shared" si="38"/>
        <v>12791.208694007148</v>
      </c>
      <c r="U97" s="130"/>
      <c r="V97" s="130">
        <f t="shared" si="39"/>
        <v>0</v>
      </c>
      <c r="W97" s="130"/>
    </row>
    <row r="98" spans="1:23" ht="17.25" customHeight="1" outlineLevel="2">
      <c r="A98" s="48"/>
      <c r="B98" s="58"/>
      <c r="C98" s="59"/>
      <c r="D98" s="59"/>
      <c r="E98" s="60"/>
      <c r="F98" s="60"/>
      <c r="G98" s="61" t="s">
        <v>36</v>
      </c>
      <c r="H98" s="69"/>
      <c r="I98" s="69"/>
      <c r="J98" s="149"/>
      <c r="K98" s="206"/>
      <c r="L98" s="209"/>
      <c r="M98" s="69"/>
      <c r="N98" s="69"/>
      <c r="O98" s="69"/>
      <c r="P98" s="69"/>
      <c r="Q98" s="69"/>
      <c r="R98" s="69"/>
      <c r="S98" s="69"/>
      <c r="T98" s="130">
        <f t="shared" si="38"/>
        <v>0</v>
      </c>
      <c r="U98" s="130"/>
      <c r="V98" s="130">
        <f t="shared" si="39"/>
        <v>0</v>
      </c>
      <c r="W98" s="130"/>
    </row>
    <row r="99" spans="1:23" ht="17.25" customHeight="1" outlineLevel="2">
      <c r="A99" s="48"/>
      <c r="B99" s="58"/>
      <c r="C99" s="59"/>
      <c r="D99" s="59"/>
      <c r="E99" s="60"/>
      <c r="F99" s="60"/>
      <c r="G99" s="61" t="s">
        <v>37</v>
      </c>
      <c r="H99" s="69"/>
      <c r="I99" s="69"/>
      <c r="J99" s="149"/>
      <c r="K99" s="206"/>
      <c r="L99" s="209"/>
      <c r="M99" s="69"/>
      <c r="N99" s="69"/>
      <c r="O99" s="69"/>
      <c r="P99" s="69"/>
      <c r="Q99" s="69"/>
      <c r="R99" s="69"/>
      <c r="S99" s="69"/>
      <c r="T99" s="130">
        <f t="shared" si="38"/>
        <v>0</v>
      </c>
      <c r="U99" s="130"/>
      <c r="V99" s="130">
        <f>SUM(L99:S99)</f>
        <v>0</v>
      </c>
      <c r="W99" s="130"/>
    </row>
    <row r="100" spans="1:23" ht="17.25" customHeight="1" outlineLevel="1">
      <c r="A100" s="48"/>
      <c r="B100" s="49">
        <v>4.2</v>
      </c>
      <c r="C100" s="339" t="s">
        <v>56</v>
      </c>
      <c r="D100" s="340"/>
      <c r="E100" s="50">
        <v>45931</v>
      </c>
      <c r="F100" s="50">
        <v>45991</v>
      </c>
      <c r="G100" s="51"/>
      <c r="H100" s="150"/>
      <c r="I100" s="151"/>
      <c r="J100" s="152"/>
      <c r="K100" s="156"/>
      <c r="L100" s="244"/>
      <c r="M100" s="154"/>
      <c r="N100" s="151"/>
      <c r="O100" s="151"/>
      <c r="P100" s="151"/>
      <c r="Q100" s="151"/>
      <c r="R100" s="118"/>
      <c r="S100" s="118"/>
      <c r="T100" s="142">
        <f t="shared" ref="T100:W100" si="40">SUM(T101:T106)</f>
        <v>0</v>
      </c>
      <c r="U100" s="142">
        <f t="shared" si="40"/>
        <v>0</v>
      </c>
      <c r="V100" s="142">
        <f t="shared" si="40"/>
        <v>0</v>
      </c>
      <c r="W100" s="142">
        <f t="shared" si="40"/>
        <v>0</v>
      </c>
    </row>
    <row r="101" spans="1:23" ht="17.25" customHeight="1" outlineLevel="2">
      <c r="A101" s="48"/>
      <c r="B101" s="58"/>
      <c r="C101" s="59"/>
      <c r="D101" s="59"/>
      <c r="E101" s="60"/>
      <c r="F101" s="60"/>
      <c r="G101" s="61" t="s">
        <v>32</v>
      </c>
      <c r="H101" s="69"/>
      <c r="I101" s="69"/>
      <c r="J101" s="149"/>
      <c r="K101" s="206"/>
      <c r="L101" s="209"/>
      <c r="M101" s="69"/>
      <c r="N101" s="69"/>
      <c r="O101" s="69"/>
      <c r="P101" s="69"/>
      <c r="Q101" s="245"/>
      <c r="R101" s="245"/>
      <c r="S101" s="69"/>
      <c r="T101" s="130">
        <f t="shared" ref="T101:T106" si="41">SUM(H101:K101)</f>
        <v>0</v>
      </c>
      <c r="U101" s="69"/>
      <c r="V101" s="130">
        <f t="shared" ref="V101:V104" si="42">SUM(M101:S101)</f>
        <v>0</v>
      </c>
      <c r="W101" s="69"/>
    </row>
    <row r="102" spans="1:23" ht="17.25" customHeight="1" outlineLevel="2">
      <c r="A102" s="48"/>
      <c r="B102" s="58"/>
      <c r="C102" s="59"/>
      <c r="D102" s="59"/>
      <c r="E102" s="60"/>
      <c r="F102" s="60"/>
      <c r="G102" s="61" t="s">
        <v>33</v>
      </c>
      <c r="H102" s="69"/>
      <c r="I102" s="69"/>
      <c r="J102" s="149"/>
      <c r="K102" s="206"/>
      <c r="L102" s="209"/>
      <c r="M102" s="69"/>
      <c r="N102" s="69"/>
      <c r="O102" s="69"/>
      <c r="P102" s="69"/>
      <c r="Q102" s="245"/>
      <c r="R102" s="245"/>
      <c r="S102" s="69"/>
      <c r="T102" s="130">
        <f t="shared" si="41"/>
        <v>0</v>
      </c>
      <c r="U102" s="69"/>
      <c r="V102" s="130">
        <f t="shared" si="42"/>
        <v>0</v>
      </c>
      <c r="W102" s="69"/>
    </row>
    <row r="103" spans="1:23" ht="17.25" customHeight="1" outlineLevel="2">
      <c r="A103" s="48"/>
      <c r="B103" s="58"/>
      <c r="C103" s="59"/>
      <c r="D103" s="59"/>
      <c r="E103" s="60"/>
      <c r="F103" s="60"/>
      <c r="G103" s="61" t="s">
        <v>34</v>
      </c>
      <c r="H103" s="69"/>
      <c r="I103" s="69"/>
      <c r="J103" s="149"/>
      <c r="K103" s="206"/>
      <c r="L103" s="209"/>
      <c r="M103" s="69"/>
      <c r="N103" s="69"/>
      <c r="O103" s="69"/>
      <c r="P103" s="69"/>
      <c r="Q103" s="246"/>
      <c r="R103" s="246"/>
      <c r="S103" s="69"/>
      <c r="T103" s="130">
        <f t="shared" si="41"/>
        <v>0</v>
      </c>
      <c r="U103" s="69"/>
      <c r="V103" s="130">
        <f t="shared" si="42"/>
        <v>0</v>
      </c>
      <c r="W103" s="69"/>
    </row>
    <row r="104" spans="1:23" ht="17.25" customHeight="1" outlineLevel="2">
      <c r="A104" s="48"/>
      <c r="B104" s="58"/>
      <c r="C104" s="59"/>
      <c r="D104" s="59"/>
      <c r="E104" s="60"/>
      <c r="F104" s="60"/>
      <c r="G104" s="61" t="s">
        <v>35</v>
      </c>
      <c r="H104" s="69"/>
      <c r="I104" s="69"/>
      <c r="J104" s="149"/>
      <c r="K104" s="206"/>
      <c r="L104" s="209"/>
      <c r="M104" s="69"/>
      <c r="N104" s="69"/>
      <c r="O104" s="69"/>
      <c r="P104" s="69"/>
      <c r="Q104" s="246"/>
      <c r="R104" s="246"/>
      <c r="S104" s="69"/>
      <c r="T104" s="130">
        <f t="shared" si="41"/>
        <v>0</v>
      </c>
      <c r="U104" s="69"/>
      <c r="V104" s="130">
        <f t="shared" si="42"/>
        <v>0</v>
      </c>
      <c r="W104" s="69"/>
    </row>
    <row r="105" spans="1:23" ht="17.25" customHeight="1" outlineLevel="2">
      <c r="A105" s="48"/>
      <c r="B105" s="58"/>
      <c r="C105" s="59"/>
      <c r="D105" s="59"/>
      <c r="E105" s="60"/>
      <c r="F105" s="60"/>
      <c r="G105" s="61" t="s">
        <v>36</v>
      </c>
      <c r="H105" s="69"/>
      <c r="I105" s="69"/>
      <c r="J105" s="149"/>
      <c r="K105" s="206"/>
      <c r="L105" s="209"/>
      <c r="M105" s="69"/>
      <c r="N105" s="69"/>
      <c r="O105" s="69"/>
      <c r="P105" s="69"/>
      <c r="Q105" s="69"/>
      <c r="R105" s="69"/>
      <c r="S105" s="69"/>
      <c r="T105" s="130">
        <f t="shared" si="41"/>
        <v>0</v>
      </c>
      <c r="U105" s="69"/>
      <c r="V105" s="130">
        <f t="shared" ref="V105:V106" si="43">SUM(L105:S105)</f>
        <v>0</v>
      </c>
      <c r="W105" s="69"/>
    </row>
    <row r="106" spans="1:23" ht="17.25" customHeight="1" outlineLevel="2">
      <c r="A106" s="48"/>
      <c r="B106" s="58"/>
      <c r="C106" s="59"/>
      <c r="D106" s="59"/>
      <c r="E106" s="60"/>
      <c r="F106" s="60"/>
      <c r="G106" s="61" t="s">
        <v>37</v>
      </c>
      <c r="H106" s="69"/>
      <c r="I106" s="69"/>
      <c r="J106" s="149"/>
      <c r="K106" s="206"/>
      <c r="L106" s="209"/>
      <c r="M106" s="69"/>
      <c r="N106" s="69"/>
      <c r="O106" s="69"/>
      <c r="P106" s="69"/>
      <c r="Q106" s="69"/>
      <c r="R106" s="69"/>
      <c r="S106" s="69"/>
      <c r="T106" s="130">
        <f t="shared" si="41"/>
        <v>0</v>
      </c>
      <c r="U106" s="69"/>
      <c r="V106" s="130">
        <f t="shared" si="43"/>
        <v>0</v>
      </c>
      <c r="W106" s="69"/>
    </row>
    <row r="107" spans="1:23" ht="17.25" customHeight="1" outlineLevel="1">
      <c r="A107" s="48"/>
      <c r="B107" s="49">
        <v>4.3</v>
      </c>
      <c r="C107" s="332" t="s">
        <v>58</v>
      </c>
      <c r="D107" s="330"/>
      <c r="E107" s="50">
        <v>45819</v>
      </c>
      <c r="F107" s="50">
        <v>45930</v>
      </c>
      <c r="G107" s="135"/>
      <c r="H107" s="136"/>
      <c r="I107" s="137"/>
      <c r="J107" s="156"/>
      <c r="K107" s="156"/>
      <c r="L107" s="244"/>
      <c r="M107" s="158"/>
      <c r="N107" s="137"/>
      <c r="O107" s="137"/>
      <c r="P107" s="137"/>
      <c r="Q107" s="137"/>
      <c r="R107" s="141"/>
      <c r="S107" s="141"/>
      <c r="T107" s="142">
        <f t="shared" ref="T107:W107" si="44">SUM(T108:T113)</f>
        <v>17770</v>
      </c>
      <c r="U107" s="142">
        <f t="shared" si="44"/>
        <v>0</v>
      </c>
      <c r="V107" s="142">
        <f t="shared" si="44"/>
        <v>33800</v>
      </c>
      <c r="W107" s="142">
        <f t="shared" si="44"/>
        <v>0</v>
      </c>
    </row>
    <row r="108" spans="1:23" ht="17.25" customHeight="1" outlineLevel="2">
      <c r="A108" s="48"/>
      <c r="B108" s="58"/>
      <c r="C108" s="59"/>
      <c r="D108" s="59"/>
      <c r="E108" s="60"/>
      <c r="F108" s="60"/>
      <c r="G108" s="61" t="s">
        <v>32</v>
      </c>
      <c r="H108" s="69"/>
      <c r="I108" s="69"/>
      <c r="J108" s="149"/>
      <c r="K108" s="206"/>
      <c r="L108" s="209"/>
      <c r="M108" s="110">
        <v>1656</v>
      </c>
      <c r="N108" s="110">
        <v>1534</v>
      </c>
      <c r="O108" s="110">
        <v>1534</v>
      </c>
      <c r="P108" s="110">
        <v>766</v>
      </c>
      <c r="Q108" s="110">
        <v>4806</v>
      </c>
      <c r="R108" s="110">
        <v>4794</v>
      </c>
      <c r="S108" s="69"/>
      <c r="T108" s="130">
        <f t="shared" ref="T108:T113" si="45">SUM(H108:N108)</f>
        <v>3190</v>
      </c>
      <c r="U108" s="69"/>
      <c r="V108" s="69">
        <f t="shared" ref="V108:V113" si="46">SUM(O108:S108)</f>
        <v>11900</v>
      </c>
      <c r="W108" s="69"/>
    </row>
    <row r="109" spans="1:23" ht="17.25" customHeight="1" outlineLevel="2">
      <c r="A109" s="48"/>
      <c r="B109" s="58"/>
      <c r="C109" s="59"/>
      <c r="D109" s="59"/>
      <c r="E109" s="60"/>
      <c r="F109" s="60"/>
      <c r="G109" s="61" t="s">
        <v>33</v>
      </c>
      <c r="H109" s="69"/>
      <c r="I109" s="69"/>
      <c r="J109" s="149"/>
      <c r="K109" s="206"/>
      <c r="L109" s="209"/>
      <c r="M109" s="236">
        <v>797</v>
      </c>
      <c r="N109" s="247">
        <v>3670</v>
      </c>
      <c r="O109" s="236">
        <v>5000</v>
      </c>
      <c r="P109" s="236">
        <v>5000</v>
      </c>
      <c r="Q109" s="69">
        <v>2500</v>
      </c>
      <c r="R109" s="237">
        <v>2500</v>
      </c>
      <c r="S109" s="69"/>
      <c r="T109" s="130">
        <f t="shared" si="45"/>
        <v>4467</v>
      </c>
      <c r="U109" s="69"/>
      <c r="V109" s="69">
        <f t="shared" si="46"/>
        <v>15000</v>
      </c>
      <c r="W109" s="69"/>
    </row>
    <row r="110" spans="1:23" ht="17.25" customHeight="1" outlineLevel="2">
      <c r="A110" s="48"/>
      <c r="B110" s="58"/>
      <c r="C110" s="59"/>
      <c r="D110" s="59"/>
      <c r="E110" s="60"/>
      <c r="F110" s="60"/>
      <c r="G110" s="61" t="s">
        <v>34</v>
      </c>
      <c r="H110" s="69">
        <v>767</v>
      </c>
      <c r="I110" s="69">
        <v>767</v>
      </c>
      <c r="J110" s="149"/>
      <c r="K110" s="206"/>
      <c r="L110" s="209"/>
      <c r="M110" s="236">
        <v>1075</v>
      </c>
      <c r="N110" s="247">
        <v>942</v>
      </c>
      <c r="O110" s="236">
        <v>1000</v>
      </c>
      <c r="P110" s="236">
        <v>500</v>
      </c>
      <c r="Q110" s="69">
        <v>500</v>
      </c>
      <c r="R110" s="237">
        <v>500</v>
      </c>
      <c r="S110" s="69"/>
      <c r="T110" s="130">
        <f t="shared" si="45"/>
        <v>3551</v>
      </c>
      <c r="U110" s="69"/>
      <c r="V110" s="69">
        <f t="shared" si="46"/>
        <v>2500</v>
      </c>
      <c r="W110" s="69"/>
    </row>
    <row r="111" spans="1:23" ht="17.25" customHeight="1" outlineLevel="2">
      <c r="A111" s="48"/>
      <c r="B111" s="58"/>
      <c r="C111" s="59"/>
      <c r="D111" s="59"/>
      <c r="E111" s="60"/>
      <c r="F111" s="60"/>
      <c r="G111" s="61" t="s">
        <v>35</v>
      </c>
      <c r="H111" s="69">
        <v>1769</v>
      </c>
      <c r="I111" s="69">
        <v>1021</v>
      </c>
      <c r="J111" s="149"/>
      <c r="K111" s="206"/>
      <c r="L111" s="209"/>
      <c r="M111" s="236">
        <v>552</v>
      </c>
      <c r="N111" s="247">
        <v>1116</v>
      </c>
      <c r="O111" s="236">
        <v>1200</v>
      </c>
      <c r="P111" s="236">
        <v>1200</v>
      </c>
      <c r="Q111" s="69">
        <v>1000</v>
      </c>
      <c r="R111" s="237">
        <v>1000</v>
      </c>
      <c r="S111" s="69"/>
      <c r="T111" s="130">
        <f t="shared" si="45"/>
        <v>4458</v>
      </c>
      <c r="U111" s="69"/>
      <c r="V111" s="69">
        <f t="shared" si="46"/>
        <v>4400</v>
      </c>
      <c r="W111" s="69"/>
    </row>
    <row r="112" spans="1:23" ht="17.25" customHeight="1" outlineLevel="2">
      <c r="A112" s="48"/>
      <c r="B112" s="58"/>
      <c r="C112" s="59"/>
      <c r="D112" s="59"/>
      <c r="E112" s="60"/>
      <c r="F112" s="60"/>
      <c r="G112" s="61" t="s">
        <v>36</v>
      </c>
      <c r="H112" s="69"/>
      <c r="I112" s="69"/>
      <c r="J112" s="149"/>
      <c r="K112" s="206"/>
      <c r="L112" s="209"/>
      <c r="M112" s="69"/>
      <c r="N112" s="69"/>
      <c r="O112" s="69"/>
      <c r="P112" s="69"/>
      <c r="Q112" s="69"/>
      <c r="R112" s="69"/>
      <c r="S112" s="69"/>
      <c r="T112" s="130">
        <f t="shared" si="45"/>
        <v>0</v>
      </c>
      <c r="U112" s="69"/>
      <c r="V112" s="69">
        <f t="shared" si="46"/>
        <v>0</v>
      </c>
      <c r="W112" s="69"/>
    </row>
    <row r="113" spans="1:23" ht="17.25" customHeight="1" outlineLevel="2">
      <c r="A113" s="48"/>
      <c r="B113" s="58"/>
      <c r="C113" s="59"/>
      <c r="D113" s="59"/>
      <c r="E113" s="60"/>
      <c r="F113" s="60"/>
      <c r="G113" s="61" t="s">
        <v>59</v>
      </c>
      <c r="H113" s="69">
        <v>2104</v>
      </c>
      <c r="I113" s="69"/>
      <c r="J113" s="149"/>
      <c r="K113" s="206"/>
      <c r="L113" s="209"/>
      <c r="M113" s="69"/>
      <c r="N113" s="69"/>
      <c r="O113" s="69"/>
      <c r="P113" s="69"/>
      <c r="Q113" s="69"/>
      <c r="R113" s="69"/>
      <c r="S113" s="69"/>
      <c r="T113" s="130">
        <f t="shared" si="45"/>
        <v>2104</v>
      </c>
      <c r="U113" s="69"/>
      <c r="V113" s="69">
        <f t="shared" si="46"/>
        <v>0</v>
      </c>
      <c r="W113" s="69"/>
    </row>
    <row r="114" spans="1:23" ht="21" customHeight="1">
      <c r="A114" s="19"/>
      <c r="B114" s="39">
        <v>5</v>
      </c>
      <c r="C114" s="40" t="s">
        <v>60</v>
      </c>
      <c r="D114" s="41"/>
      <c r="E114" s="71"/>
      <c r="F114" s="71"/>
      <c r="G114" s="72"/>
      <c r="H114" s="111"/>
      <c r="I114" s="112"/>
      <c r="J114" s="113"/>
      <c r="K114" s="230"/>
      <c r="L114" s="231"/>
      <c r="M114" s="111"/>
      <c r="N114" s="111"/>
      <c r="O114" s="111"/>
      <c r="P114" s="111"/>
      <c r="Q114" s="111"/>
      <c r="R114" s="111"/>
      <c r="S114" s="111"/>
      <c r="T114" s="115">
        <f t="shared" ref="T114:W114" si="47">T115+T122+T129</f>
        <v>33027.866522141499</v>
      </c>
      <c r="U114" s="115">
        <f t="shared" si="47"/>
        <v>31684.174580612835</v>
      </c>
      <c r="V114" s="115">
        <f t="shared" si="47"/>
        <v>34662</v>
      </c>
      <c r="W114" s="115">
        <f t="shared" si="47"/>
        <v>0</v>
      </c>
    </row>
    <row r="115" spans="1:23" ht="15.75" customHeight="1" outlineLevel="1">
      <c r="A115" s="48"/>
      <c r="B115" s="49">
        <v>5.0999999999999996</v>
      </c>
      <c r="C115" s="339" t="s">
        <v>61</v>
      </c>
      <c r="D115" s="340"/>
      <c r="E115" s="50">
        <v>45689</v>
      </c>
      <c r="F115" s="50">
        <v>45746</v>
      </c>
      <c r="G115" s="135"/>
      <c r="H115" s="150"/>
      <c r="I115" s="151"/>
      <c r="J115" s="119"/>
      <c r="K115" s="138"/>
      <c r="L115" s="232"/>
      <c r="M115" s="121"/>
      <c r="N115" s="118"/>
      <c r="O115" s="118"/>
      <c r="P115" s="118"/>
      <c r="Q115" s="118"/>
      <c r="R115" s="118"/>
      <c r="S115" s="118"/>
      <c r="T115" s="91">
        <f t="shared" ref="T115:W115" si="48">SUM(T116:T121)</f>
        <v>33027.866522141499</v>
      </c>
      <c r="U115" s="91">
        <f t="shared" si="48"/>
        <v>0</v>
      </c>
      <c r="V115" s="91">
        <f t="shared" si="48"/>
        <v>0</v>
      </c>
      <c r="W115" s="91">
        <f t="shared" si="48"/>
        <v>0</v>
      </c>
    </row>
    <row r="116" spans="1:23" ht="17.25" customHeight="1" outlineLevel="2">
      <c r="A116" s="48"/>
      <c r="B116" s="58"/>
      <c r="C116" s="59"/>
      <c r="D116" s="59"/>
      <c r="E116" s="60"/>
      <c r="F116" s="60"/>
      <c r="G116" s="61" t="s">
        <v>32</v>
      </c>
      <c r="H116" s="69"/>
      <c r="I116" s="110">
        <v>8866</v>
      </c>
      <c r="J116" s="224">
        <v>7591</v>
      </c>
      <c r="K116" s="206"/>
      <c r="L116" s="209"/>
      <c r="M116" s="69"/>
      <c r="N116" s="69"/>
      <c r="O116" s="69"/>
      <c r="P116" s="69"/>
      <c r="Q116" s="69"/>
      <c r="R116" s="69"/>
      <c r="S116" s="69"/>
      <c r="T116" s="130">
        <f t="shared" ref="T116:T121" si="49">SUM(H116:K116)</f>
        <v>16457</v>
      </c>
      <c r="U116" s="69"/>
      <c r="V116" s="69">
        <f t="shared" ref="V116:V121" si="50">SUM(L116:S116)</f>
        <v>0</v>
      </c>
      <c r="W116" s="69"/>
    </row>
    <row r="117" spans="1:23" ht="17.25" customHeight="1" outlineLevel="2">
      <c r="A117" s="48"/>
      <c r="B117" s="58"/>
      <c r="C117" s="59"/>
      <c r="D117" s="59"/>
      <c r="E117" s="60"/>
      <c r="F117" s="60"/>
      <c r="G117" s="61" t="s">
        <v>33</v>
      </c>
      <c r="H117" s="69"/>
      <c r="I117" s="69"/>
      <c r="J117" s="149"/>
      <c r="K117" s="206"/>
      <c r="L117" s="209"/>
      <c r="M117" s="69"/>
      <c r="N117" s="69"/>
      <c r="O117" s="69"/>
      <c r="P117" s="69"/>
      <c r="Q117" s="69"/>
      <c r="R117" s="69"/>
      <c r="S117" s="69"/>
      <c r="T117" s="130">
        <f t="shared" si="49"/>
        <v>0</v>
      </c>
      <c r="U117" s="69"/>
      <c r="V117" s="69">
        <f t="shared" si="50"/>
        <v>0</v>
      </c>
      <c r="W117" s="69"/>
    </row>
    <row r="118" spans="1:23" ht="17.25" customHeight="1" outlineLevel="2">
      <c r="A118" s="48"/>
      <c r="B118" s="58"/>
      <c r="C118" s="59"/>
      <c r="D118" s="59"/>
      <c r="E118" s="60"/>
      <c r="F118" s="60"/>
      <c r="G118" s="61" t="s">
        <v>34</v>
      </c>
      <c r="H118" s="69"/>
      <c r="I118" s="69">
        <v>2772</v>
      </c>
      <c r="J118" s="149">
        <v>3617</v>
      </c>
      <c r="K118" s="206"/>
      <c r="L118" s="209"/>
      <c r="M118" s="69"/>
      <c r="N118" s="69"/>
      <c r="O118" s="69"/>
      <c r="P118" s="69"/>
      <c r="Q118" s="69"/>
      <c r="R118" s="69"/>
      <c r="S118" s="69"/>
      <c r="T118" s="130">
        <f t="shared" si="49"/>
        <v>6389</v>
      </c>
      <c r="U118" s="69"/>
      <c r="V118" s="69">
        <f t="shared" si="50"/>
        <v>0</v>
      </c>
      <c r="W118" s="69"/>
    </row>
    <row r="119" spans="1:23" ht="17.25" customHeight="1" outlineLevel="2">
      <c r="A119" s="48"/>
      <c r="B119" s="58"/>
      <c r="C119" s="59"/>
      <c r="D119" s="59"/>
      <c r="E119" s="60"/>
      <c r="F119" s="60"/>
      <c r="G119" s="61" t="s">
        <v>35</v>
      </c>
      <c r="H119" s="69"/>
      <c r="I119" s="69">
        <v>5101.6703905758677</v>
      </c>
      <c r="J119" s="149">
        <v>5080.1961315656272</v>
      </c>
      <c r="K119" s="206"/>
      <c r="L119" s="209"/>
      <c r="M119" s="69"/>
      <c r="N119" s="69"/>
      <c r="O119" s="69"/>
      <c r="P119" s="69"/>
      <c r="Q119" s="69"/>
      <c r="R119" s="69"/>
      <c r="S119" s="69"/>
      <c r="T119" s="130">
        <f t="shared" si="49"/>
        <v>10181.866522141496</v>
      </c>
      <c r="U119" s="69"/>
      <c r="V119" s="69">
        <f t="shared" si="50"/>
        <v>0</v>
      </c>
      <c r="W119" s="69"/>
    </row>
    <row r="120" spans="1:23" ht="17.25" customHeight="1" outlineLevel="2">
      <c r="A120" s="48"/>
      <c r="B120" s="58"/>
      <c r="C120" s="59"/>
      <c r="D120" s="59"/>
      <c r="E120" s="60"/>
      <c r="F120" s="60"/>
      <c r="G120" s="61" t="s">
        <v>36</v>
      </c>
      <c r="H120" s="69"/>
      <c r="I120" s="69"/>
      <c r="J120" s="149"/>
      <c r="K120" s="206"/>
      <c r="L120" s="209"/>
      <c r="M120" s="69"/>
      <c r="N120" s="69"/>
      <c r="O120" s="69"/>
      <c r="P120" s="69"/>
      <c r="Q120" s="69"/>
      <c r="R120" s="69"/>
      <c r="S120" s="69"/>
      <c r="T120" s="130">
        <f t="shared" si="49"/>
        <v>0</v>
      </c>
      <c r="U120" s="69"/>
      <c r="V120" s="69">
        <f t="shared" si="50"/>
        <v>0</v>
      </c>
      <c r="W120" s="69"/>
    </row>
    <row r="121" spans="1:23" ht="17.25" customHeight="1" outlineLevel="2">
      <c r="A121" s="48"/>
      <c r="B121" s="58"/>
      <c r="C121" s="59"/>
      <c r="D121" s="59"/>
      <c r="E121" s="60"/>
      <c r="F121" s="60"/>
      <c r="G121" s="61" t="s">
        <v>37</v>
      </c>
      <c r="H121" s="69"/>
      <c r="I121" s="69"/>
      <c r="J121" s="149"/>
      <c r="K121" s="206"/>
      <c r="L121" s="209"/>
      <c r="M121" s="69"/>
      <c r="N121" s="69"/>
      <c r="O121" s="69"/>
      <c r="P121" s="69"/>
      <c r="Q121" s="69"/>
      <c r="R121" s="69"/>
      <c r="S121" s="69"/>
      <c r="T121" s="130">
        <f t="shared" si="49"/>
        <v>0</v>
      </c>
      <c r="U121" s="69"/>
      <c r="V121" s="69">
        <f t="shared" si="50"/>
        <v>0</v>
      </c>
      <c r="W121" s="69"/>
    </row>
    <row r="122" spans="1:23" ht="15.75" customHeight="1" outlineLevel="1">
      <c r="A122" s="48"/>
      <c r="B122" s="49">
        <v>5.2</v>
      </c>
      <c r="C122" s="339" t="s">
        <v>62</v>
      </c>
      <c r="D122" s="340"/>
      <c r="E122" s="159">
        <v>45931</v>
      </c>
      <c r="F122" s="50">
        <v>45973</v>
      </c>
      <c r="G122" s="160"/>
      <c r="H122" s="136"/>
      <c r="I122" s="137"/>
      <c r="J122" s="138"/>
      <c r="K122" s="138"/>
      <c r="L122" s="232"/>
      <c r="M122" s="140"/>
      <c r="N122" s="141"/>
      <c r="O122" s="141"/>
      <c r="P122" s="141"/>
      <c r="Q122" s="141"/>
      <c r="R122" s="141"/>
      <c r="S122" s="141"/>
      <c r="T122" s="142">
        <f t="shared" ref="T122:W122" si="51">SUM(T123:T128)</f>
        <v>0</v>
      </c>
      <c r="U122" s="142">
        <f t="shared" si="51"/>
        <v>0</v>
      </c>
      <c r="V122" s="142">
        <f t="shared" si="51"/>
        <v>34662</v>
      </c>
      <c r="W122" s="142">
        <f t="shared" si="51"/>
        <v>0</v>
      </c>
    </row>
    <row r="123" spans="1:23" ht="17.25" customHeight="1" outlineLevel="2">
      <c r="A123" s="48"/>
      <c r="B123" s="58"/>
      <c r="C123" s="59"/>
      <c r="D123" s="59"/>
      <c r="E123" s="60"/>
      <c r="F123" s="60"/>
      <c r="G123" s="61" t="s">
        <v>32</v>
      </c>
      <c r="H123" s="69"/>
      <c r="I123" s="69"/>
      <c r="J123" s="149"/>
      <c r="K123" s="206"/>
      <c r="L123" s="209"/>
      <c r="M123" s="69"/>
      <c r="N123" s="69"/>
      <c r="O123" s="69"/>
      <c r="P123" s="69"/>
      <c r="Q123" s="110">
        <v>10481</v>
      </c>
      <c r="R123" s="110">
        <v>10481</v>
      </c>
      <c r="S123" s="69"/>
      <c r="T123" s="130">
        <f t="shared" ref="T123:T128" si="52">SUM(H123:K123)</f>
        <v>0</v>
      </c>
      <c r="U123" s="130">
        <f>SUM(H123:K123)</f>
        <v>0</v>
      </c>
      <c r="V123" s="69">
        <f t="shared" ref="V123:V127" si="53">SUM(O123:S123)</f>
        <v>20962</v>
      </c>
      <c r="W123" s="69"/>
    </row>
    <row r="124" spans="1:23" ht="17.25" customHeight="1" outlineLevel="2">
      <c r="A124" s="48"/>
      <c r="B124" s="58"/>
      <c r="C124" s="59"/>
      <c r="D124" s="59"/>
      <c r="E124" s="60"/>
      <c r="F124" s="60"/>
      <c r="G124" s="61" t="s">
        <v>33</v>
      </c>
      <c r="H124" s="69"/>
      <c r="I124" s="69"/>
      <c r="J124" s="149"/>
      <c r="K124" s="206"/>
      <c r="L124" s="209"/>
      <c r="M124" s="69"/>
      <c r="N124" s="69"/>
      <c r="O124" s="69"/>
      <c r="P124" s="69"/>
      <c r="Q124" s="69">
        <v>3400</v>
      </c>
      <c r="R124" s="69">
        <v>1700</v>
      </c>
      <c r="S124" s="69"/>
      <c r="T124" s="130">
        <f t="shared" si="52"/>
        <v>0</v>
      </c>
      <c r="U124" s="69"/>
      <c r="V124" s="69">
        <f t="shared" si="53"/>
        <v>5100</v>
      </c>
      <c r="W124" s="69"/>
    </row>
    <row r="125" spans="1:23" ht="17.25" customHeight="1" outlineLevel="2">
      <c r="A125" s="48"/>
      <c r="B125" s="58"/>
      <c r="C125" s="59"/>
      <c r="D125" s="59"/>
      <c r="E125" s="60"/>
      <c r="F125" s="60"/>
      <c r="G125" s="61" t="s">
        <v>34</v>
      </c>
      <c r="H125" s="69"/>
      <c r="I125" s="69"/>
      <c r="J125" s="149"/>
      <c r="K125" s="206"/>
      <c r="L125" s="209"/>
      <c r="M125" s="69"/>
      <c r="N125" s="69"/>
      <c r="O125" s="92"/>
      <c r="P125" s="92"/>
      <c r="Q125" s="92">
        <v>3700</v>
      </c>
      <c r="R125" s="92">
        <v>1900</v>
      </c>
      <c r="S125" s="69"/>
      <c r="T125" s="130">
        <f t="shared" si="52"/>
        <v>0</v>
      </c>
      <c r="U125" s="69"/>
      <c r="V125" s="69">
        <f t="shared" si="53"/>
        <v>5600</v>
      </c>
      <c r="W125" s="69"/>
    </row>
    <row r="126" spans="1:23" ht="17.25" customHeight="1" outlineLevel="2">
      <c r="A126" s="48"/>
      <c r="B126" s="58"/>
      <c r="C126" s="59"/>
      <c r="D126" s="59"/>
      <c r="E126" s="60"/>
      <c r="F126" s="60"/>
      <c r="G126" s="61" t="s">
        <v>35</v>
      </c>
      <c r="H126" s="69"/>
      <c r="I126" s="69"/>
      <c r="J126" s="149"/>
      <c r="K126" s="206"/>
      <c r="L126" s="209"/>
      <c r="M126" s="69"/>
      <c r="N126" s="69"/>
      <c r="O126" s="92"/>
      <c r="P126" s="92"/>
      <c r="Q126" s="92">
        <v>2000</v>
      </c>
      <c r="R126" s="92">
        <v>1000</v>
      </c>
      <c r="S126" s="69"/>
      <c r="T126" s="130">
        <f t="shared" si="52"/>
        <v>0</v>
      </c>
      <c r="U126" s="69"/>
      <c r="V126" s="69">
        <f t="shared" si="53"/>
        <v>3000</v>
      </c>
      <c r="W126" s="69"/>
    </row>
    <row r="127" spans="1:23" ht="17.25" customHeight="1" outlineLevel="2">
      <c r="A127" s="48"/>
      <c r="B127" s="58"/>
      <c r="C127" s="59"/>
      <c r="D127" s="59"/>
      <c r="E127" s="60"/>
      <c r="F127" s="60"/>
      <c r="G127" s="61" t="s">
        <v>36</v>
      </c>
      <c r="H127" s="69"/>
      <c r="I127" s="69"/>
      <c r="J127" s="149"/>
      <c r="K127" s="206"/>
      <c r="L127" s="209"/>
      <c r="M127" s="69"/>
      <c r="N127" s="69"/>
      <c r="O127" s="69"/>
      <c r="P127" s="69"/>
      <c r="Q127" s="67"/>
      <c r="R127" s="67"/>
      <c r="S127" s="69"/>
      <c r="T127" s="130">
        <f t="shared" si="52"/>
        <v>0</v>
      </c>
      <c r="U127" s="69"/>
      <c r="V127" s="69">
        <f t="shared" si="53"/>
        <v>0</v>
      </c>
      <c r="W127" s="69"/>
    </row>
    <row r="128" spans="1:23" ht="17.25" customHeight="1" outlineLevel="2">
      <c r="A128" s="48"/>
      <c r="B128" s="58"/>
      <c r="C128" s="59"/>
      <c r="D128" s="59"/>
      <c r="E128" s="60"/>
      <c r="F128" s="60"/>
      <c r="G128" s="61" t="s">
        <v>37</v>
      </c>
      <c r="H128" s="69"/>
      <c r="I128" s="69"/>
      <c r="J128" s="149"/>
      <c r="K128" s="206"/>
      <c r="L128" s="209"/>
      <c r="M128" s="69"/>
      <c r="N128" s="69"/>
      <c r="O128" s="69"/>
      <c r="P128" s="69"/>
      <c r="Q128" s="69"/>
      <c r="R128" s="69"/>
      <c r="S128" s="69"/>
      <c r="T128" s="130">
        <f t="shared" si="52"/>
        <v>0</v>
      </c>
      <c r="U128" s="69"/>
      <c r="V128" s="69">
        <f>SUM(L128:S128)</f>
        <v>0</v>
      </c>
      <c r="W128" s="69"/>
    </row>
    <row r="129" spans="1:23" ht="15.75" customHeight="1" outlineLevel="1">
      <c r="A129" s="48"/>
      <c r="B129" s="49">
        <v>5.3</v>
      </c>
      <c r="C129" s="332" t="s">
        <v>63</v>
      </c>
      <c r="D129" s="330"/>
      <c r="E129" s="50">
        <v>45853</v>
      </c>
      <c r="F129" s="49" t="s">
        <v>77</v>
      </c>
      <c r="G129" s="135"/>
      <c r="H129" s="136"/>
      <c r="I129" s="137"/>
      <c r="J129" s="138"/>
      <c r="K129" s="138"/>
      <c r="L129" s="232"/>
      <c r="M129" s="140"/>
      <c r="N129" s="141"/>
      <c r="O129" s="141"/>
      <c r="P129" s="141"/>
      <c r="Q129" s="141"/>
      <c r="R129" s="141"/>
      <c r="S129" s="141"/>
      <c r="T129" s="142">
        <f t="shared" ref="T129:W129" si="54">SUM(T130:T135)</f>
        <v>0</v>
      </c>
      <c r="U129" s="142">
        <f t="shared" si="54"/>
        <v>31684.174580612835</v>
      </c>
      <c r="V129" s="142">
        <f t="shared" si="54"/>
        <v>0</v>
      </c>
      <c r="W129" s="142">
        <f t="shared" si="54"/>
        <v>0</v>
      </c>
    </row>
    <row r="130" spans="1:23" ht="17.25" customHeight="1" outlineLevel="2">
      <c r="A130" s="48"/>
      <c r="B130" s="58"/>
      <c r="C130" s="59"/>
      <c r="D130" s="59"/>
      <c r="E130" s="60"/>
      <c r="F130" s="60"/>
      <c r="G130" s="61" t="s">
        <v>32</v>
      </c>
      <c r="H130" s="69"/>
      <c r="I130" s="69"/>
      <c r="J130" s="149"/>
      <c r="K130" s="206"/>
      <c r="L130" s="209"/>
      <c r="M130" s="69"/>
      <c r="N130" s="69"/>
      <c r="O130" s="69"/>
      <c r="P130" s="69"/>
      <c r="Q130" s="69"/>
      <c r="R130" s="69"/>
      <c r="S130" s="69"/>
      <c r="T130" s="130"/>
      <c r="U130" s="69">
        <f t="shared" ref="U130:U135" si="55">SUM(H130:N130)</f>
        <v>0</v>
      </c>
      <c r="V130" s="69"/>
      <c r="W130" s="69">
        <f t="shared" ref="W130:W135" si="56">SUM(O130:S130)</f>
        <v>0</v>
      </c>
    </row>
    <row r="131" spans="1:23" ht="17.25" customHeight="1" outlineLevel="2">
      <c r="A131" s="48"/>
      <c r="B131" s="58"/>
      <c r="C131" s="59"/>
      <c r="D131" s="59"/>
      <c r="E131" s="60"/>
      <c r="F131" s="60"/>
      <c r="G131" s="61" t="s">
        <v>33</v>
      </c>
      <c r="H131" s="69"/>
      <c r="I131" s="69"/>
      <c r="J131" s="149"/>
      <c r="K131" s="206"/>
      <c r="L131" s="209"/>
      <c r="M131" s="69"/>
      <c r="N131" s="69"/>
      <c r="O131" s="69"/>
      <c r="P131" s="69"/>
      <c r="Q131" s="69"/>
      <c r="R131" s="69"/>
      <c r="S131" s="69"/>
      <c r="T131" s="130"/>
      <c r="U131" s="69">
        <f t="shared" si="55"/>
        <v>0</v>
      </c>
      <c r="V131" s="69"/>
      <c r="W131" s="69">
        <f t="shared" si="56"/>
        <v>0</v>
      </c>
    </row>
    <row r="132" spans="1:23" ht="17.25" customHeight="1" outlineLevel="2">
      <c r="A132" s="48"/>
      <c r="B132" s="58"/>
      <c r="C132" s="59"/>
      <c r="D132" s="59"/>
      <c r="E132" s="60"/>
      <c r="F132" s="60"/>
      <c r="G132" s="61" t="s">
        <v>34</v>
      </c>
      <c r="H132" s="69">
        <v>1020</v>
      </c>
      <c r="I132" s="69">
        <v>832</v>
      </c>
      <c r="J132" s="149">
        <v>1024</v>
      </c>
      <c r="K132" s="206">
        <v>982</v>
      </c>
      <c r="L132" s="209">
        <v>533</v>
      </c>
      <c r="M132" s="69">
        <v>475</v>
      </c>
      <c r="N132" s="248">
        <v>445</v>
      </c>
      <c r="O132" s="69"/>
      <c r="P132" s="69"/>
      <c r="Q132" s="69"/>
      <c r="R132" s="69"/>
      <c r="S132" s="69"/>
      <c r="T132" s="130"/>
      <c r="U132" s="69">
        <f t="shared" si="55"/>
        <v>5311</v>
      </c>
      <c r="V132" s="69"/>
      <c r="W132" s="69">
        <f t="shared" si="56"/>
        <v>0</v>
      </c>
    </row>
    <row r="133" spans="1:23" ht="17.25" customHeight="1" outlineLevel="2">
      <c r="A133" s="48"/>
      <c r="B133" s="58"/>
      <c r="C133" s="59"/>
      <c r="D133" s="59"/>
      <c r="E133" s="60"/>
      <c r="F133" s="60"/>
      <c r="G133" s="61" t="s">
        <v>35</v>
      </c>
      <c r="H133" s="69">
        <v>1185.1745806128345</v>
      </c>
      <c r="I133" s="69">
        <v>449</v>
      </c>
      <c r="J133" s="149">
        <v>539</v>
      </c>
      <c r="K133" s="206">
        <v>901</v>
      </c>
      <c r="L133" s="209">
        <v>898</v>
      </c>
      <c r="M133" s="69">
        <v>901</v>
      </c>
      <c r="N133" s="248">
        <v>857</v>
      </c>
      <c r="O133" s="69"/>
      <c r="P133" s="69"/>
      <c r="Q133" s="69"/>
      <c r="R133" s="69"/>
      <c r="S133" s="69"/>
      <c r="T133" s="130"/>
      <c r="U133" s="69">
        <f t="shared" si="55"/>
        <v>5730.1745806128347</v>
      </c>
      <c r="V133" s="69"/>
      <c r="W133" s="69">
        <f t="shared" si="56"/>
        <v>0</v>
      </c>
    </row>
    <row r="134" spans="1:23" ht="17.25" customHeight="1" outlineLevel="2">
      <c r="A134" s="48"/>
      <c r="B134" s="58"/>
      <c r="C134" s="59"/>
      <c r="D134" s="59"/>
      <c r="E134" s="60"/>
      <c r="F134" s="60"/>
      <c r="G134" s="61" t="s">
        <v>36</v>
      </c>
      <c r="H134" s="69">
        <v>5024</v>
      </c>
      <c r="I134" s="69">
        <v>4673</v>
      </c>
      <c r="J134" s="149">
        <v>3501</v>
      </c>
      <c r="K134" s="206">
        <v>4056</v>
      </c>
      <c r="L134" s="209">
        <v>2775</v>
      </c>
      <c r="M134" s="69">
        <v>614</v>
      </c>
      <c r="N134" s="69" t="s">
        <v>148</v>
      </c>
      <c r="O134" s="69"/>
      <c r="P134" s="69"/>
      <c r="Q134" s="69"/>
      <c r="R134" s="69"/>
      <c r="S134" s="69"/>
      <c r="T134" s="130"/>
      <c r="U134" s="69">
        <f t="shared" si="55"/>
        <v>20643</v>
      </c>
      <c r="V134" s="69"/>
      <c r="W134" s="69">
        <f t="shared" si="56"/>
        <v>0</v>
      </c>
    </row>
    <row r="135" spans="1:23" ht="17.25" customHeight="1" outlineLevel="2">
      <c r="A135" s="48"/>
      <c r="B135" s="58"/>
      <c r="C135" s="59"/>
      <c r="D135" s="59"/>
      <c r="E135" s="60"/>
      <c r="F135" s="60"/>
      <c r="G135" s="61" t="s">
        <v>37</v>
      </c>
      <c r="H135" s="69"/>
      <c r="I135" s="69"/>
      <c r="J135" s="149"/>
      <c r="K135" s="206"/>
      <c r="L135" s="209"/>
      <c r="M135" s="69"/>
      <c r="N135" s="69"/>
      <c r="O135" s="69"/>
      <c r="P135" s="69"/>
      <c r="Q135" s="69"/>
      <c r="R135" s="69"/>
      <c r="S135" s="69"/>
      <c r="T135" s="130"/>
      <c r="U135" s="69">
        <f t="shared" si="55"/>
        <v>0</v>
      </c>
      <c r="V135" s="69"/>
      <c r="W135" s="69">
        <f t="shared" si="56"/>
        <v>0</v>
      </c>
    </row>
    <row r="136" spans="1:23" ht="21" customHeight="1">
      <c r="A136" s="19"/>
      <c r="B136" s="39">
        <v>6</v>
      </c>
      <c r="C136" s="40" t="s">
        <v>65</v>
      </c>
      <c r="D136" s="41"/>
      <c r="E136" s="71"/>
      <c r="F136" s="71"/>
      <c r="G136" s="72"/>
      <c r="H136" s="111"/>
      <c r="I136" s="112"/>
      <c r="J136" s="113"/>
      <c r="K136" s="230"/>
      <c r="L136" s="231"/>
      <c r="M136" s="111"/>
      <c r="N136" s="111"/>
      <c r="O136" s="111"/>
      <c r="P136" s="111"/>
      <c r="Q136" s="111"/>
      <c r="R136" s="111"/>
      <c r="S136" s="111"/>
      <c r="T136" s="115">
        <f t="shared" ref="T136:W136" si="57">T137+T144+T151</f>
        <v>45460</v>
      </c>
      <c r="U136" s="115">
        <f t="shared" si="57"/>
        <v>3474</v>
      </c>
      <c r="V136" s="115">
        <f t="shared" si="57"/>
        <v>10271</v>
      </c>
      <c r="W136" s="115">
        <f t="shared" si="57"/>
        <v>0</v>
      </c>
    </row>
    <row r="137" spans="1:23" ht="15.75" customHeight="1" outlineLevel="1">
      <c r="A137" s="48"/>
      <c r="B137" s="49">
        <v>6.1</v>
      </c>
      <c r="C137" s="339" t="s">
        <v>66</v>
      </c>
      <c r="D137" s="340"/>
      <c r="E137" s="50">
        <v>45792</v>
      </c>
      <c r="F137" s="50">
        <v>45838</v>
      </c>
      <c r="G137" s="135"/>
      <c r="H137" s="150"/>
      <c r="I137" s="151"/>
      <c r="J137" s="119"/>
      <c r="K137" s="138"/>
      <c r="L137" s="232"/>
      <c r="M137" s="121"/>
      <c r="N137" s="118"/>
      <c r="O137" s="118"/>
      <c r="P137" s="118"/>
      <c r="Q137" s="118"/>
      <c r="R137" s="118"/>
      <c r="S137" s="118"/>
      <c r="T137" s="91">
        <f t="shared" ref="T137:W137" si="58">SUM(T138:T143)</f>
        <v>38614</v>
      </c>
      <c r="U137" s="91">
        <f t="shared" si="58"/>
        <v>0</v>
      </c>
      <c r="V137" s="91">
        <f t="shared" si="58"/>
        <v>4871</v>
      </c>
      <c r="W137" s="91">
        <f t="shared" si="58"/>
        <v>0</v>
      </c>
    </row>
    <row r="138" spans="1:23" ht="17.25" customHeight="1" outlineLevel="2">
      <c r="A138" s="48"/>
      <c r="B138" s="58"/>
      <c r="C138" s="59"/>
      <c r="D138" s="59"/>
      <c r="E138" s="60"/>
      <c r="F138" s="60"/>
      <c r="G138" s="61" t="s">
        <v>32</v>
      </c>
      <c r="H138" s="69"/>
      <c r="I138" s="69"/>
      <c r="J138" s="149"/>
      <c r="K138" s="206"/>
      <c r="L138" s="228">
        <v>6142</v>
      </c>
      <c r="M138" s="110">
        <v>13858</v>
      </c>
      <c r="N138" s="110">
        <v>4871</v>
      </c>
      <c r="O138" s="69"/>
      <c r="P138" s="69"/>
      <c r="Q138" s="69"/>
      <c r="R138" s="69"/>
      <c r="S138" s="69"/>
      <c r="T138" s="130">
        <f t="shared" ref="T138:T141" si="59">SUM(H138:M138)</f>
        <v>20000</v>
      </c>
      <c r="U138" s="69"/>
      <c r="V138" s="69">
        <f t="shared" ref="V138:V141" si="60">SUM(N138:S138)</f>
        <v>4871</v>
      </c>
      <c r="W138" s="69"/>
    </row>
    <row r="139" spans="1:23" ht="17.25" customHeight="1" outlineLevel="2">
      <c r="A139" s="48"/>
      <c r="B139" s="58"/>
      <c r="C139" s="59"/>
      <c r="D139" s="59"/>
      <c r="E139" s="60"/>
      <c r="F139" s="60"/>
      <c r="G139" s="61" t="s">
        <v>33</v>
      </c>
      <c r="H139" s="69"/>
      <c r="I139" s="69"/>
      <c r="J139" s="149"/>
      <c r="K139" s="206"/>
      <c r="L139" s="209">
        <v>2278</v>
      </c>
      <c r="M139" s="92">
        <v>6955</v>
      </c>
      <c r="N139" s="69"/>
      <c r="O139" s="69"/>
      <c r="P139" s="69"/>
      <c r="Q139" s="69"/>
      <c r="R139" s="69"/>
      <c r="S139" s="69"/>
      <c r="T139" s="130">
        <f t="shared" si="59"/>
        <v>9233</v>
      </c>
      <c r="U139" s="69"/>
      <c r="V139" s="69">
        <f t="shared" si="60"/>
        <v>0</v>
      </c>
      <c r="W139" s="69"/>
    </row>
    <row r="140" spans="1:23" ht="17.25" customHeight="1" outlineLevel="2">
      <c r="A140" s="48"/>
      <c r="B140" s="58"/>
      <c r="C140" s="59"/>
      <c r="D140" s="59"/>
      <c r="E140" s="60"/>
      <c r="F140" s="60"/>
      <c r="G140" s="61" t="s">
        <v>34</v>
      </c>
      <c r="H140" s="69"/>
      <c r="I140" s="69"/>
      <c r="J140" s="149"/>
      <c r="K140" s="206"/>
      <c r="L140" s="209">
        <v>1562</v>
      </c>
      <c r="M140" s="69">
        <v>4090</v>
      </c>
      <c r="N140" s="69"/>
      <c r="O140" s="69"/>
      <c r="P140" s="69"/>
      <c r="Q140" s="69"/>
      <c r="R140" s="69"/>
      <c r="S140" s="69"/>
      <c r="T140" s="130">
        <f t="shared" si="59"/>
        <v>5652</v>
      </c>
      <c r="U140" s="69"/>
      <c r="V140" s="69">
        <f t="shared" si="60"/>
        <v>0</v>
      </c>
      <c r="W140" s="69"/>
    </row>
    <row r="141" spans="1:23" ht="17.25" customHeight="1" outlineLevel="2">
      <c r="A141" s="48"/>
      <c r="B141" s="58"/>
      <c r="C141" s="59"/>
      <c r="D141" s="59"/>
      <c r="E141" s="60"/>
      <c r="F141" s="60"/>
      <c r="G141" s="61" t="s">
        <v>35</v>
      </c>
      <c r="H141" s="69"/>
      <c r="I141" s="69"/>
      <c r="J141" s="149"/>
      <c r="K141" s="206"/>
      <c r="L141" s="209">
        <v>1376</v>
      </c>
      <c r="M141" s="69">
        <v>2353</v>
      </c>
      <c r="N141" s="69"/>
      <c r="O141" s="69"/>
      <c r="P141" s="69"/>
      <c r="Q141" s="69"/>
      <c r="R141" s="69"/>
      <c r="S141" s="69"/>
      <c r="T141" s="130">
        <f t="shared" si="59"/>
        <v>3729</v>
      </c>
      <c r="U141" s="69"/>
      <c r="V141" s="69">
        <f t="shared" si="60"/>
        <v>0</v>
      </c>
      <c r="W141" s="69"/>
    </row>
    <row r="142" spans="1:23" ht="17.25" customHeight="1" outlineLevel="2">
      <c r="A142" s="48"/>
      <c r="B142" s="58"/>
      <c r="C142" s="59"/>
      <c r="D142" s="59"/>
      <c r="E142" s="60"/>
      <c r="F142" s="60"/>
      <c r="G142" s="61" t="s">
        <v>36</v>
      </c>
      <c r="H142" s="69"/>
      <c r="I142" s="69"/>
      <c r="J142" s="149"/>
      <c r="K142" s="206"/>
      <c r="L142" s="209"/>
      <c r="M142" s="69"/>
      <c r="N142" s="69"/>
      <c r="O142" s="69"/>
      <c r="P142" s="69"/>
      <c r="Q142" s="69"/>
      <c r="R142" s="69"/>
      <c r="S142" s="69"/>
      <c r="T142" s="130"/>
      <c r="U142" s="69"/>
      <c r="V142" s="69"/>
      <c r="W142" s="69">
        <f>SUM(L142:S142)</f>
        <v>0</v>
      </c>
    </row>
    <row r="143" spans="1:23" ht="17.25" customHeight="1" outlineLevel="2">
      <c r="A143" s="48"/>
      <c r="B143" s="58"/>
      <c r="C143" s="59"/>
      <c r="D143" s="59"/>
      <c r="E143" s="60"/>
      <c r="F143" s="60"/>
      <c r="G143" s="61" t="s">
        <v>37</v>
      </c>
      <c r="H143" s="69"/>
      <c r="I143" s="69"/>
      <c r="J143" s="149"/>
      <c r="K143" s="206"/>
      <c r="L143" s="209"/>
      <c r="M143" s="69"/>
      <c r="N143" s="69"/>
      <c r="O143" s="69"/>
      <c r="P143" s="69"/>
      <c r="Q143" s="69"/>
      <c r="R143" s="69"/>
      <c r="S143" s="69"/>
      <c r="T143" s="130"/>
      <c r="U143" s="69"/>
      <c r="V143" s="69"/>
      <c r="W143" s="69"/>
    </row>
    <row r="144" spans="1:23" ht="15.75" customHeight="1" outlineLevel="1">
      <c r="A144" s="48"/>
      <c r="B144" s="49">
        <v>6.2</v>
      </c>
      <c r="C144" s="332" t="s">
        <v>67</v>
      </c>
      <c r="D144" s="330"/>
      <c r="E144" s="50">
        <v>45839</v>
      </c>
      <c r="F144" s="50">
        <v>45930</v>
      </c>
      <c r="G144" s="135"/>
      <c r="H144" s="136"/>
      <c r="I144" s="137"/>
      <c r="J144" s="138"/>
      <c r="K144" s="138"/>
      <c r="L144" s="232"/>
      <c r="M144" s="140"/>
      <c r="N144" s="141"/>
      <c r="O144" s="141"/>
      <c r="P144" s="141"/>
      <c r="Q144" s="141"/>
      <c r="R144" s="141"/>
      <c r="S144" s="141"/>
      <c r="T144" s="142">
        <f t="shared" ref="T144:W144" si="61">SUM(T145:T150)</f>
        <v>1649</v>
      </c>
      <c r="U144" s="142">
        <f t="shared" si="61"/>
        <v>0</v>
      </c>
      <c r="V144" s="142">
        <f t="shared" si="61"/>
        <v>5400</v>
      </c>
      <c r="W144" s="142">
        <f t="shared" si="61"/>
        <v>0</v>
      </c>
    </row>
    <row r="145" spans="1:23" ht="17.25" customHeight="1" outlineLevel="2">
      <c r="A145" s="48"/>
      <c r="B145" s="58"/>
      <c r="C145" s="59"/>
      <c r="D145" s="59"/>
      <c r="E145" s="60"/>
      <c r="F145" s="60"/>
      <c r="G145" s="61" t="s">
        <v>32</v>
      </c>
      <c r="H145" s="69"/>
      <c r="I145" s="69"/>
      <c r="J145" s="149"/>
      <c r="K145" s="206"/>
      <c r="L145" s="209"/>
      <c r="M145" s="69"/>
      <c r="N145" s="69"/>
      <c r="O145" s="69"/>
      <c r="P145" s="69"/>
      <c r="Q145" s="69"/>
      <c r="R145" s="69"/>
      <c r="S145" s="69"/>
      <c r="T145" s="130">
        <f t="shared" ref="T145:T150" si="62">SUM(H145:N145)</f>
        <v>0</v>
      </c>
      <c r="U145" s="69"/>
      <c r="V145" s="69">
        <f t="shared" ref="V145:V150" si="63">SUM(O145:S145)</f>
        <v>0</v>
      </c>
      <c r="W145" s="69"/>
    </row>
    <row r="146" spans="1:23" ht="17.25" customHeight="1" outlineLevel="2">
      <c r="A146" s="48"/>
      <c r="B146" s="58"/>
      <c r="C146" s="59"/>
      <c r="D146" s="59"/>
      <c r="E146" s="60"/>
      <c r="F146" s="60"/>
      <c r="G146" s="61" t="s">
        <v>33</v>
      </c>
      <c r="H146" s="69"/>
      <c r="I146" s="69"/>
      <c r="J146" s="149"/>
      <c r="K146" s="206"/>
      <c r="L146" s="209"/>
      <c r="M146" s="69"/>
      <c r="N146" s="69"/>
      <c r="O146" s="69"/>
      <c r="P146" s="69"/>
      <c r="Q146" s="69"/>
      <c r="R146" s="69"/>
      <c r="S146" s="69"/>
      <c r="T146" s="130">
        <f t="shared" si="62"/>
        <v>0</v>
      </c>
      <c r="U146" s="69"/>
      <c r="V146" s="69">
        <f t="shared" si="63"/>
        <v>0</v>
      </c>
      <c r="W146" s="69"/>
    </row>
    <row r="147" spans="1:23" ht="17.25" customHeight="1" outlineLevel="2">
      <c r="A147" s="48"/>
      <c r="B147" s="58"/>
      <c r="C147" s="59"/>
      <c r="D147" s="59"/>
      <c r="E147" s="60"/>
      <c r="F147" s="60"/>
      <c r="G147" s="61" t="s">
        <v>34</v>
      </c>
      <c r="H147" s="69"/>
      <c r="I147" s="69"/>
      <c r="J147" s="149"/>
      <c r="K147" s="206"/>
      <c r="L147" s="209"/>
      <c r="M147" s="69"/>
      <c r="N147" s="248">
        <v>1190</v>
      </c>
      <c r="O147" s="69">
        <v>1200</v>
      </c>
      <c r="P147" s="69">
        <v>1200</v>
      </c>
      <c r="Q147" s="69"/>
      <c r="R147" s="69"/>
      <c r="S147" s="69"/>
      <c r="T147" s="130">
        <f t="shared" si="62"/>
        <v>1190</v>
      </c>
      <c r="U147" s="69"/>
      <c r="V147" s="69">
        <f t="shared" si="63"/>
        <v>2400</v>
      </c>
      <c r="W147" s="69"/>
    </row>
    <row r="148" spans="1:23" ht="17.25" customHeight="1" outlineLevel="2">
      <c r="A148" s="48"/>
      <c r="B148" s="58"/>
      <c r="C148" s="59"/>
      <c r="D148" s="59"/>
      <c r="E148" s="60"/>
      <c r="F148" s="60"/>
      <c r="G148" s="61" t="s">
        <v>35</v>
      </c>
      <c r="H148" s="69"/>
      <c r="I148" s="69"/>
      <c r="J148" s="149"/>
      <c r="K148" s="206"/>
      <c r="L148" s="209"/>
      <c r="M148" s="69"/>
      <c r="N148" s="248">
        <v>459</v>
      </c>
      <c r="O148" s="69">
        <v>1500</v>
      </c>
      <c r="P148" s="69">
        <v>1500</v>
      </c>
      <c r="Q148" s="69"/>
      <c r="R148" s="69"/>
      <c r="S148" s="69"/>
      <c r="T148" s="130">
        <f t="shared" si="62"/>
        <v>459</v>
      </c>
      <c r="U148" s="69"/>
      <c r="V148" s="69">
        <f t="shared" si="63"/>
        <v>3000</v>
      </c>
      <c r="W148" s="69"/>
    </row>
    <row r="149" spans="1:23" ht="17.25" customHeight="1" outlineLevel="2">
      <c r="A149" s="48"/>
      <c r="B149" s="58"/>
      <c r="C149" s="59"/>
      <c r="D149" s="59"/>
      <c r="E149" s="60"/>
      <c r="F149" s="60"/>
      <c r="G149" s="61" t="s">
        <v>36</v>
      </c>
      <c r="H149" s="69"/>
      <c r="I149" s="69"/>
      <c r="J149" s="149"/>
      <c r="K149" s="206"/>
      <c r="L149" s="209"/>
      <c r="M149" s="69"/>
      <c r="N149" s="69"/>
      <c r="O149" s="69"/>
      <c r="P149" s="69"/>
      <c r="Q149" s="69"/>
      <c r="R149" s="69"/>
      <c r="S149" s="69"/>
      <c r="T149" s="130">
        <f t="shared" si="62"/>
        <v>0</v>
      </c>
      <c r="U149" s="69"/>
      <c r="V149" s="69">
        <f t="shared" si="63"/>
        <v>0</v>
      </c>
      <c r="W149" s="69">
        <f>SUM(L149:S149)</f>
        <v>0</v>
      </c>
    </row>
    <row r="150" spans="1:23" ht="17.25" customHeight="1" outlineLevel="2">
      <c r="A150" s="48"/>
      <c r="B150" s="58"/>
      <c r="C150" s="59"/>
      <c r="D150" s="59"/>
      <c r="E150" s="60"/>
      <c r="F150" s="60"/>
      <c r="G150" s="61" t="s">
        <v>37</v>
      </c>
      <c r="H150" s="69"/>
      <c r="I150" s="69"/>
      <c r="J150" s="149"/>
      <c r="K150" s="206"/>
      <c r="L150" s="209"/>
      <c r="M150" s="69"/>
      <c r="N150" s="69"/>
      <c r="O150" s="69"/>
      <c r="P150" s="69"/>
      <c r="Q150" s="69"/>
      <c r="R150" s="69"/>
      <c r="S150" s="69"/>
      <c r="T150" s="130">
        <f t="shared" si="62"/>
        <v>0</v>
      </c>
      <c r="U150" s="69"/>
      <c r="V150" s="69">
        <f t="shared" si="63"/>
        <v>0</v>
      </c>
      <c r="W150" s="69"/>
    </row>
    <row r="151" spans="1:23" ht="15.75" customHeight="1" outlineLevel="1">
      <c r="A151" s="48"/>
      <c r="B151" s="49" t="s">
        <v>68</v>
      </c>
      <c r="C151" s="332" t="s">
        <v>69</v>
      </c>
      <c r="D151" s="330"/>
      <c r="E151" s="50">
        <v>45658</v>
      </c>
      <c r="F151" s="50">
        <v>45809</v>
      </c>
      <c r="G151" s="135"/>
      <c r="H151" s="136"/>
      <c r="I151" s="137"/>
      <c r="J151" s="138"/>
      <c r="K151" s="138"/>
      <c r="L151" s="232"/>
      <c r="M151" s="140"/>
      <c r="N151" s="141"/>
      <c r="O151" s="141"/>
      <c r="P151" s="141"/>
      <c r="Q151" s="141"/>
      <c r="R151" s="141"/>
      <c r="S151" s="141"/>
      <c r="T151" s="142">
        <f t="shared" ref="T151:W151" si="64">SUM(T152:T157)</f>
        <v>5197</v>
      </c>
      <c r="U151" s="142">
        <f t="shared" si="64"/>
        <v>3474</v>
      </c>
      <c r="V151" s="142">
        <f t="shared" si="64"/>
        <v>0</v>
      </c>
      <c r="W151" s="142">
        <f t="shared" si="64"/>
        <v>0</v>
      </c>
    </row>
    <row r="152" spans="1:23" ht="17.25" customHeight="1" outlineLevel="2">
      <c r="A152" s="48"/>
      <c r="B152" s="58"/>
      <c r="C152" s="59"/>
      <c r="D152" s="59"/>
      <c r="E152" s="60"/>
      <c r="F152" s="60"/>
      <c r="G152" s="61" t="s">
        <v>32</v>
      </c>
      <c r="H152" s="69"/>
      <c r="I152" s="69"/>
      <c r="J152" s="149"/>
      <c r="K152" s="206"/>
      <c r="L152" s="209"/>
      <c r="M152" s="69"/>
      <c r="N152" s="69"/>
      <c r="O152" s="69"/>
      <c r="P152" s="69"/>
      <c r="Q152" s="69"/>
      <c r="R152" s="69"/>
      <c r="S152" s="69"/>
      <c r="T152" s="130">
        <f t="shared" ref="T152:T155" si="65">SUM(H152:L152)</f>
        <v>0</v>
      </c>
      <c r="U152" s="69"/>
      <c r="V152" s="69"/>
      <c r="W152" s="69"/>
    </row>
    <row r="153" spans="1:23" ht="17.25" customHeight="1" outlineLevel="2">
      <c r="A153" s="48"/>
      <c r="B153" s="58"/>
      <c r="C153" s="59"/>
      <c r="D153" s="59"/>
      <c r="E153" s="60"/>
      <c r="F153" s="60"/>
      <c r="G153" s="61" t="s">
        <v>33</v>
      </c>
      <c r="H153" s="69"/>
      <c r="I153" s="69"/>
      <c r="J153" s="149"/>
      <c r="K153" s="206"/>
      <c r="L153" s="209"/>
      <c r="M153" s="69"/>
      <c r="N153" s="69"/>
      <c r="O153" s="69"/>
      <c r="P153" s="69"/>
      <c r="Q153" s="69"/>
      <c r="R153" s="69"/>
      <c r="S153" s="69"/>
      <c r="T153" s="130">
        <f t="shared" si="65"/>
        <v>0</v>
      </c>
      <c r="U153" s="69"/>
      <c r="V153" s="69"/>
      <c r="W153" s="69"/>
    </row>
    <row r="154" spans="1:23" ht="17.25" customHeight="1" outlineLevel="2">
      <c r="A154" s="48"/>
      <c r="B154" s="58"/>
      <c r="C154" s="59"/>
      <c r="D154" s="59"/>
      <c r="E154" s="60"/>
      <c r="F154" s="60"/>
      <c r="G154" s="61" t="s">
        <v>34</v>
      </c>
      <c r="H154" s="69">
        <v>511</v>
      </c>
      <c r="I154" s="69">
        <v>511</v>
      </c>
      <c r="J154" s="149">
        <v>511</v>
      </c>
      <c r="K154" s="206"/>
      <c r="L154" s="209"/>
      <c r="M154" s="69"/>
      <c r="N154" s="69"/>
      <c r="O154" s="69"/>
      <c r="P154" s="69"/>
      <c r="Q154" s="69"/>
      <c r="R154" s="69"/>
      <c r="S154" s="69"/>
      <c r="T154" s="130">
        <f t="shared" si="65"/>
        <v>1533</v>
      </c>
      <c r="U154" s="69"/>
      <c r="V154" s="69"/>
      <c r="W154" s="69"/>
    </row>
    <row r="155" spans="1:23" ht="17.25" customHeight="1" outlineLevel="2">
      <c r="A155" s="48"/>
      <c r="B155" s="58"/>
      <c r="C155" s="59"/>
      <c r="D155" s="59"/>
      <c r="E155" s="60"/>
      <c r="F155" s="60"/>
      <c r="G155" s="61" t="s">
        <v>35</v>
      </c>
      <c r="H155" s="69">
        <v>1100</v>
      </c>
      <c r="I155" s="69">
        <v>1092</v>
      </c>
      <c r="J155" s="149">
        <v>896</v>
      </c>
      <c r="K155" s="206">
        <v>576</v>
      </c>
      <c r="L155" s="209"/>
      <c r="M155" s="69"/>
      <c r="N155" s="69"/>
      <c r="O155" s="69"/>
      <c r="P155" s="69"/>
      <c r="Q155" s="69"/>
      <c r="R155" s="69"/>
      <c r="S155" s="69"/>
      <c r="T155" s="130">
        <f t="shared" si="65"/>
        <v>3664</v>
      </c>
      <c r="U155" s="69"/>
      <c r="V155" s="69"/>
      <c r="W155" s="69"/>
    </row>
    <row r="156" spans="1:23" ht="17.25" customHeight="1" outlineLevel="2">
      <c r="A156" s="48"/>
      <c r="B156" s="58"/>
      <c r="C156" s="59"/>
      <c r="D156" s="59"/>
      <c r="E156" s="60"/>
      <c r="F156" s="60"/>
      <c r="G156" s="61" t="s">
        <v>36</v>
      </c>
      <c r="H156" s="69">
        <v>699</v>
      </c>
      <c r="I156" s="69">
        <v>699</v>
      </c>
      <c r="J156" s="149">
        <v>677</v>
      </c>
      <c r="K156" s="206">
        <v>700</v>
      </c>
      <c r="L156" s="209">
        <v>699</v>
      </c>
      <c r="M156" s="69"/>
      <c r="N156" s="69"/>
      <c r="O156" s="69"/>
      <c r="P156" s="69"/>
      <c r="Q156" s="69"/>
      <c r="R156" s="69"/>
      <c r="S156" s="69"/>
      <c r="T156" s="130"/>
      <c r="U156" s="69">
        <f>SUM(H156:L156)</f>
        <v>3474</v>
      </c>
      <c r="V156" s="69"/>
      <c r="W156" s="69"/>
    </row>
    <row r="157" spans="1:23" ht="17.25" customHeight="1" outlineLevel="2">
      <c r="A157" s="48"/>
      <c r="B157" s="58"/>
      <c r="C157" s="59"/>
      <c r="D157" s="59"/>
      <c r="E157" s="60"/>
      <c r="F157" s="60"/>
      <c r="G157" s="61" t="s">
        <v>37</v>
      </c>
      <c r="H157" s="69"/>
      <c r="I157" s="69"/>
      <c r="J157" s="149"/>
      <c r="K157" s="206"/>
      <c r="L157" s="209"/>
      <c r="M157" s="69"/>
      <c r="N157" s="69"/>
      <c r="O157" s="69"/>
      <c r="P157" s="69"/>
      <c r="Q157" s="69"/>
      <c r="R157" s="69"/>
      <c r="S157" s="69"/>
      <c r="T157" s="130"/>
      <c r="U157" s="69"/>
      <c r="V157" s="69"/>
      <c r="W157" s="69"/>
    </row>
    <row r="158" spans="1:23" ht="21" customHeight="1">
      <c r="A158" s="19"/>
      <c r="B158" s="39">
        <v>7</v>
      </c>
      <c r="C158" s="70" t="s">
        <v>70</v>
      </c>
      <c r="D158" s="42"/>
      <c r="E158" s="71"/>
      <c r="F158" s="71"/>
      <c r="G158" s="72"/>
      <c r="H158" s="111"/>
      <c r="I158" s="112"/>
      <c r="J158" s="113"/>
      <c r="K158" s="230"/>
      <c r="L158" s="231"/>
      <c r="M158" s="111"/>
      <c r="N158" s="111"/>
      <c r="O158" s="111"/>
      <c r="P158" s="111"/>
      <c r="Q158" s="111"/>
      <c r="R158" s="111"/>
      <c r="S158" s="111"/>
      <c r="T158" s="115">
        <f t="shared" ref="T158:W158" si="66">T159+T162+T169+T176+T183</f>
        <v>8901</v>
      </c>
      <c r="U158" s="115">
        <f t="shared" si="66"/>
        <v>0</v>
      </c>
      <c r="V158" s="115">
        <f t="shared" si="66"/>
        <v>78202</v>
      </c>
      <c r="W158" s="115">
        <f t="shared" si="66"/>
        <v>0</v>
      </c>
    </row>
    <row r="159" spans="1:23" ht="15.75" customHeight="1" outlineLevel="1">
      <c r="A159" s="48"/>
      <c r="B159" s="49">
        <v>7.1</v>
      </c>
      <c r="C159" s="329" t="s">
        <v>71</v>
      </c>
      <c r="D159" s="330"/>
      <c r="E159" s="50">
        <v>45627</v>
      </c>
      <c r="F159" s="50">
        <v>45746</v>
      </c>
      <c r="G159" s="135"/>
      <c r="H159" s="150"/>
      <c r="I159" s="150"/>
      <c r="J159" s="161"/>
      <c r="K159" s="249"/>
      <c r="L159" s="250"/>
      <c r="M159" s="163"/>
      <c r="N159" s="150"/>
      <c r="O159" s="150"/>
      <c r="P159" s="150"/>
      <c r="Q159" s="150"/>
      <c r="R159" s="150"/>
      <c r="S159" s="91"/>
      <c r="T159" s="91">
        <f t="shared" ref="T159:W159" si="67">SUM(T160:T161)</f>
        <v>8130</v>
      </c>
      <c r="U159" s="91">
        <f t="shared" si="67"/>
        <v>0</v>
      </c>
      <c r="V159" s="91">
        <f t="shared" si="67"/>
        <v>0</v>
      </c>
      <c r="W159" s="91">
        <f t="shared" si="67"/>
        <v>0</v>
      </c>
    </row>
    <row r="160" spans="1:23" ht="17.25" customHeight="1" outlineLevel="2">
      <c r="A160" s="48"/>
      <c r="B160" s="58"/>
      <c r="C160" s="59"/>
      <c r="D160" s="59"/>
      <c r="E160" s="60"/>
      <c r="F160" s="60"/>
      <c r="G160" s="61" t="s">
        <v>35</v>
      </c>
      <c r="H160" s="69">
        <v>827</v>
      </c>
      <c r="I160" s="69">
        <v>1097</v>
      </c>
      <c r="J160" s="149">
        <v>711</v>
      </c>
      <c r="K160" s="206"/>
      <c r="L160" s="209"/>
      <c r="M160" s="69">
        <v>72</v>
      </c>
      <c r="N160" s="248">
        <v>827</v>
      </c>
      <c r="O160" s="69"/>
      <c r="P160" s="69"/>
      <c r="Q160" s="69"/>
      <c r="R160" s="69"/>
      <c r="S160" s="67"/>
      <c r="T160" s="67">
        <f t="shared" ref="T160:T161" si="68">SUM(H160:N160)</f>
        <v>3534</v>
      </c>
      <c r="U160" s="67"/>
      <c r="V160" s="67">
        <f t="shared" ref="V160:V161" si="69">SUM(O160:S160)</f>
        <v>0</v>
      </c>
      <c r="W160" s="67"/>
    </row>
    <row r="161" spans="1:23" ht="17.25" customHeight="1" outlineLevel="2">
      <c r="A161" s="48"/>
      <c r="B161" s="58"/>
      <c r="C161" s="59"/>
      <c r="D161" s="59"/>
      <c r="E161" s="60"/>
      <c r="F161" s="60"/>
      <c r="G161" s="61" t="s">
        <v>36</v>
      </c>
      <c r="H161" s="69">
        <v>1156</v>
      </c>
      <c r="I161" s="69">
        <v>1301</v>
      </c>
      <c r="J161" s="149">
        <v>519</v>
      </c>
      <c r="K161" s="206">
        <v>374</v>
      </c>
      <c r="L161" s="209"/>
      <c r="M161" s="69">
        <v>90</v>
      </c>
      <c r="N161" s="248">
        <v>1156</v>
      </c>
      <c r="O161" s="69"/>
      <c r="P161" s="69"/>
      <c r="Q161" s="69"/>
      <c r="R161" s="69"/>
      <c r="S161" s="67"/>
      <c r="T161" s="67">
        <f t="shared" si="68"/>
        <v>4596</v>
      </c>
      <c r="U161" s="67"/>
      <c r="V161" s="67">
        <f t="shared" si="69"/>
        <v>0</v>
      </c>
      <c r="W161" s="67"/>
    </row>
    <row r="162" spans="1:23" ht="15.75" customHeight="1" outlineLevel="1">
      <c r="A162" s="48"/>
      <c r="B162" s="49">
        <v>7.2</v>
      </c>
      <c r="C162" s="366" t="s">
        <v>149</v>
      </c>
      <c r="D162" s="330"/>
      <c r="E162" s="159">
        <v>45823</v>
      </c>
      <c r="F162" s="50">
        <v>45960</v>
      </c>
      <c r="G162" s="51"/>
      <c r="H162" s="57"/>
      <c r="I162" s="57"/>
      <c r="J162" s="169"/>
      <c r="K162" s="179"/>
      <c r="L162" s="223"/>
      <c r="M162" s="57"/>
      <c r="N162" s="57"/>
      <c r="O162" s="57"/>
      <c r="P162" s="57"/>
      <c r="Q162" s="57"/>
      <c r="R162" s="57"/>
      <c r="S162" s="91"/>
      <c r="T162" s="91">
        <f t="shared" ref="T162:W162" si="70">SUM(T163:T168)</f>
        <v>771</v>
      </c>
      <c r="U162" s="91">
        <f t="shared" si="70"/>
        <v>0</v>
      </c>
      <c r="V162" s="91">
        <f t="shared" si="70"/>
        <v>3000</v>
      </c>
      <c r="W162" s="91">
        <f t="shared" si="70"/>
        <v>0</v>
      </c>
    </row>
    <row r="163" spans="1:23" ht="17.25" customHeight="1" outlineLevel="2">
      <c r="A163" s="48"/>
      <c r="B163" s="58"/>
      <c r="C163" s="59"/>
      <c r="D163" s="59"/>
      <c r="E163" s="60"/>
      <c r="F163" s="60"/>
      <c r="G163" s="61" t="s">
        <v>32</v>
      </c>
      <c r="H163" s="62"/>
      <c r="I163" s="63"/>
      <c r="J163" s="64"/>
      <c r="K163" s="206"/>
      <c r="L163" s="209"/>
      <c r="M163" s="69"/>
      <c r="N163" s="67"/>
      <c r="O163" s="67"/>
      <c r="P163" s="67"/>
      <c r="Q163" s="67"/>
      <c r="R163" s="68"/>
      <c r="S163" s="68"/>
      <c r="T163" s="67">
        <f t="shared" ref="T163:T168" si="71">SUM(H163:N163)</f>
        <v>0</v>
      </c>
      <c r="U163" s="67"/>
      <c r="V163" s="67">
        <f t="shared" ref="V163:V168" si="72">SUM(O163:S163)</f>
        <v>0</v>
      </c>
      <c r="W163" s="67"/>
    </row>
    <row r="164" spans="1:23" ht="17.25" customHeight="1" outlineLevel="2">
      <c r="A164" s="48"/>
      <c r="B164" s="58"/>
      <c r="C164" s="59"/>
      <c r="D164" s="59"/>
      <c r="E164" s="60"/>
      <c r="F164" s="60"/>
      <c r="G164" s="61" t="s">
        <v>33</v>
      </c>
      <c r="H164" s="62"/>
      <c r="I164" s="63"/>
      <c r="J164" s="64"/>
      <c r="K164" s="206"/>
      <c r="L164" s="209"/>
      <c r="M164" s="69"/>
      <c r="N164" s="67"/>
      <c r="O164" s="67"/>
      <c r="P164" s="67"/>
      <c r="Q164" s="67"/>
      <c r="R164" s="68"/>
      <c r="S164" s="68"/>
      <c r="T164" s="67">
        <f t="shared" si="71"/>
        <v>0</v>
      </c>
      <c r="U164" s="67"/>
      <c r="V164" s="67">
        <f t="shared" si="72"/>
        <v>0</v>
      </c>
      <c r="W164" s="67"/>
    </row>
    <row r="165" spans="1:23" ht="17.25" customHeight="1" outlineLevel="2">
      <c r="A165" s="48"/>
      <c r="B165" s="58"/>
      <c r="C165" s="59"/>
      <c r="D165" s="59"/>
      <c r="E165" s="60"/>
      <c r="F165" s="60"/>
      <c r="G165" s="61" t="s">
        <v>34</v>
      </c>
      <c r="H165" s="62"/>
      <c r="I165" s="63"/>
      <c r="J165" s="64"/>
      <c r="K165" s="206"/>
      <c r="L165" s="210"/>
      <c r="M165" s="92"/>
      <c r="N165" s="216">
        <v>771</v>
      </c>
      <c r="O165" s="67">
        <v>1500</v>
      </c>
      <c r="P165" s="67">
        <v>1500</v>
      </c>
      <c r="Q165" s="67"/>
      <c r="R165" s="68"/>
      <c r="S165" s="68"/>
      <c r="T165" s="67">
        <f t="shared" si="71"/>
        <v>771</v>
      </c>
      <c r="U165" s="67"/>
      <c r="V165" s="67">
        <f t="shared" si="72"/>
        <v>3000</v>
      </c>
      <c r="W165" s="67"/>
    </row>
    <row r="166" spans="1:23" ht="17.25" customHeight="1" outlineLevel="2">
      <c r="A166" s="48"/>
      <c r="B166" s="58"/>
      <c r="C166" s="59"/>
      <c r="D166" s="59"/>
      <c r="E166" s="60"/>
      <c r="F166" s="60"/>
      <c r="G166" s="61" t="s">
        <v>35</v>
      </c>
      <c r="H166" s="62"/>
      <c r="I166" s="63"/>
      <c r="J166" s="64"/>
      <c r="K166" s="206"/>
      <c r="L166" s="210"/>
      <c r="M166" s="92"/>
      <c r="N166" s="67"/>
      <c r="O166" s="67"/>
      <c r="P166" s="67"/>
      <c r="Q166" s="67"/>
      <c r="R166" s="68"/>
      <c r="S166" s="68"/>
      <c r="T166" s="67">
        <f t="shared" si="71"/>
        <v>0</v>
      </c>
      <c r="U166" s="67"/>
      <c r="V166" s="67">
        <f t="shared" si="72"/>
        <v>0</v>
      </c>
      <c r="W166" s="67"/>
    </row>
    <row r="167" spans="1:23" ht="17.25" customHeight="1" outlineLevel="2">
      <c r="A167" s="48"/>
      <c r="B167" s="58"/>
      <c r="C167" s="59"/>
      <c r="D167" s="59"/>
      <c r="E167" s="60"/>
      <c r="F167" s="60"/>
      <c r="G167" s="61" t="s">
        <v>36</v>
      </c>
      <c r="H167" s="62"/>
      <c r="I167" s="63"/>
      <c r="J167" s="64"/>
      <c r="K167" s="206"/>
      <c r="L167" s="209"/>
      <c r="M167" s="69"/>
      <c r="N167" s="67"/>
      <c r="O167" s="67"/>
      <c r="P167" s="67"/>
      <c r="Q167" s="67"/>
      <c r="R167" s="68"/>
      <c r="S167" s="68"/>
      <c r="T167" s="67">
        <f t="shared" si="71"/>
        <v>0</v>
      </c>
      <c r="U167" s="67"/>
      <c r="V167" s="67">
        <f t="shared" si="72"/>
        <v>0</v>
      </c>
      <c r="W167" s="67">
        <f>SUM(L167:S167)</f>
        <v>0</v>
      </c>
    </row>
    <row r="168" spans="1:23" ht="17.25" customHeight="1" outlineLevel="2">
      <c r="A168" s="48"/>
      <c r="B168" s="58"/>
      <c r="C168" s="59"/>
      <c r="D168" s="59"/>
      <c r="E168" s="60"/>
      <c r="F168" s="60"/>
      <c r="G168" s="61" t="s">
        <v>37</v>
      </c>
      <c r="H168" s="62"/>
      <c r="I168" s="63"/>
      <c r="J168" s="64"/>
      <c r="K168" s="212"/>
      <c r="L168" s="209"/>
      <c r="M168" s="69"/>
      <c r="N168" s="67"/>
      <c r="O168" s="67"/>
      <c r="P168" s="67"/>
      <c r="Q168" s="67"/>
      <c r="R168" s="68"/>
      <c r="S168" s="68"/>
      <c r="T168" s="67">
        <f t="shared" si="71"/>
        <v>0</v>
      </c>
      <c r="U168" s="67"/>
      <c r="V168" s="67">
        <f t="shared" si="72"/>
        <v>0</v>
      </c>
      <c r="W168" s="67"/>
    </row>
    <row r="169" spans="1:23" ht="15.75" customHeight="1" outlineLevel="1">
      <c r="A169" s="48"/>
      <c r="B169" s="49">
        <v>7.4</v>
      </c>
      <c r="C169" s="329" t="s">
        <v>75</v>
      </c>
      <c r="D169" s="330"/>
      <c r="E169" s="49" t="s">
        <v>150</v>
      </c>
      <c r="F169" s="50">
        <v>45960</v>
      </c>
      <c r="G169" s="172"/>
      <c r="H169" s="57"/>
      <c r="I169" s="57"/>
      <c r="J169" s="169"/>
      <c r="K169" s="179"/>
      <c r="L169" s="223"/>
      <c r="M169" s="57"/>
      <c r="N169" s="57"/>
      <c r="O169" s="91"/>
      <c r="P169" s="91"/>
      <c r="Q169" s="57"/>
      <c r="R169" s="57"/>
      <c r="S169" s="57"/>
      <c r="T169" s="57">
        <f t="shared" ref="T169:W169" si="73">SUM(T170:T175)</f>
        <v>0</v>
      </c>
      <c r="U169" s="57">
        <f t="shared" si="73"/>
        <v>0</v>
      </c>
      <c r="V169" s="57">
        <f t="shared" si="73"/>
        <v>25867</v>
      </c>
      <c r="W169" s="57">
        <f t="shared" si="73"/>
        <v>0</v>
      </c>
    </row>
    <row r="170" spans="1:23" ht="17.25" customHeight="1" outlineLevel="2">
      <c r="A170" s="48"/>
      <c r="B170" s="58"/>
      <c r="C170" s="59"/>
      <c r="D170" s="59"/>
      <c r="E170" s="60"/>
      <c r="F170" s="60"/>
      <c r="G170" s="61" t="s">
        <v>32</v>
      </c>
      <c r="H170" s="62"/>
      <c r="I170" s="63"/>
      <c r="J170" s="64"/>
      <c r="K170" s="206"/>
      <c r="L170" s="209"/>
      <c r="M170" s="69"/>
      <c r="N170" s="67"/>
      <c r="O170" s="67"/>
      <c r="P170" s="108">
        <v>3476</v>
      </c>
      <c r="Q170" s="108">
        <v>3391</v>
      </c>
      <c r="R170" s="68"/>
      <c r="S170" s="68"/>
      <c r="T170" s="67">
        <f t="shared" ref="T170:T175" si="74">SUM(H170:N170)</f>
        <v>0</v>
      </c>
      <c r="U170" s="67">
        <f t="shared" ref="U170:U175" si="75">SUM(H170:K170)</f>
        <v>0</v>
      </c>
      <c r="V170" s="67">
        <f t="shared" ref="V170:V175" si="76">SUM(O170:S170)</f>
        <v>6867</v>
      </c>
      <c r="W170" s="67"/>
    </row>
    <row r="171" spans="1:23" ht="17.25" customHeight="1" outlineLevel="2">
      <c r="A171" s="48"/>
      <c r="B171" s="58"/>
      <c r="C171" s="59"/>
      <c r="D171" s="59"/>
      <c r="E171" s="60"/>
      <c r="F171" s="60"/>
      <c r="G171" s="61" t="s">
        <v>33</v>
      </c>
      <c r="H171" s="62"/>
      <c r="I171" s="63"/>
      <c r="J171" s="64"/>
      <c r="K171" s="206"/>
      <c r="L171" s="209"/>
      <c r="M171" s="69"/>
      <c r="N171" s="67"/>
      <c r="O171" s="67"/>
      <c r="P171" s="67">
        <v>2000</v>
      </c>
      <c r="Q171" s="67">
        <v>2000</v>
      </c>
      <c r="R171" s="68"/>
      <c r="S171" s="68"/>
      <c r="T171" s="67">
        <f t="shared" si="74"/>
        <v>0</v>
      </c>
      <c r="U171" s="67">
        <f t="shared" si="75"/>
        <v>0</v>
      </c>
      <c r="V171" s="67">
        <f t="shared" si="76"/>
        <v>4000</v>
      </c>
      <c r="W171" s="67"/>
    </row>
    <row r="172" spans="1:23" ht="17.25" customHeight="1" outlineLevel="2">
      <c r="A172" s="48"/>
      <c r="B172" s="58"/>
      <c r="C172" s="59"/>
      <c r="D172" s="59"/>
      <c r="E172" s="60"/>
      <c r="F172" s="60"/>
      <c r="G172" s="61" t="s">
        <v>34</v>
      </c>
      <c r="H172" s="62"/>
      <c r="I172" s="63"/>
      <c r="J172" s="64"/>
      <c r="K172" s="206"/>
      <c r="L172" s="210"/>
      <c r="M172" s="92"/>
      <c r="N172" s="67"/>
      <c r="O172" s="67"/>
      <c r="P172" s="67">
        <v>3500</v>
      </c>
      <c r="Q172" s="67">
        <v>3500</v>
      </c>
      <c r="R172" s="68"/>
      <c r="S172" s="68"/>
      <c r="T172" s="67">
        <f t="shared" si="74"/>
        <v>0</v>
      </c>
      <c r="U172" s="67">
        <f t="shared" si="75"/>
        <v>0</v>
      </c>
      <c r="V172" s="67">
        <f t="shared" si="76"/>
        <v>7000</v>
      </c>
      <c r="W172" s="67"/>
    </row>
    <row r="173" spans="1:23" ht="17.25" customHeight="1" outlineLevel="2">
      <c r="A173" s="48"/>
      <c r="B173" s="58"/>
      <c r="C173" s="59"/>
      <c r="D173" s="59"/>
      <c r="E173" s="60"/>
      <c r="F173" s="60"/>
      <c r="G173" s="61" t="s">
        <v>35</v>
      </c>
      <c r="H173" s="62"/>
      <c r="I173" s="63"/>
      <c r="J173" s="64"/>
      <c r="K173" s="206"/>
      <c r="L173" s="210"/>
      <c r="M173" s="92"/>
      <c r="N173" s="67"/>
      <c r="O173" s="67"/>
      <c r="P173" s="67"/>
      <c r="Q173" s="67"/>
      <c r="R173" s="68"/>
      <c r="S173" s="68"/>
      <c r="T173" s="67">
        <f t="shared" si="74"/>
        <v>0</v>
      </c>
      <c r="U173" s="67">
        <f t="shared" si="75"/>
        <v>0</v>
      </c>
      <c r="V173" s="67">
        <f t="shared" si="76"/>
        <v>0</v>
      </c>
      <c r="W173" s="67"/>
    </row>
    <row r="174" spans="1:23" ht="17.25" customHeight="1" outlineLevel="2">
      <c r="A174" s="48"/>
      <c r="B174" s="58"/>
      <c r="C174" s="59"/>
      <c r="D174" s="59"/>
      <c r="E174" s="60"/>
      <c r="F174" s="60"/>
      <c r="G174" s="61" t="s">
        <v>36</v>
      </c>
      <c r="H174" s="62"/>
      <c r="I174" s="63"/>
      <c r="J174" s="64"/>
      <c r="K174" s="206"/>
      <c r="L174" s="209"/>
      <c r="M174" s="69"/>
      <c r="N174" s="67"/>
      <c r="O174" s="67"/>
      <c r="P174" s="67"/>
      <c r="Q174" s="67"/>
      <c r="R174" s="68"/>
      <c r="S174" s="68"/>
      <c r="T174" s="67">
        <f t="shared" si="74"/>
        <v>0</v>
      </c>
      <c r="U174" s="67">
        <f t="shared" si="75"/>
        <v>0</v>
      </c>
      <c r="V174" s="67">
        <f t="shared" si="76"/>
        <v>0</v>
      </c>
      <c r="W174" s="67">
        <f>SUM(L174:S174)</f>
        <v>0</v>
      </c>
    </row>
    <row r="175" spans="1:23" ht="17.25" customHeight="1" outlineLevel="2">
      <c r="A175" s="48"/>
      <c r="B175" s="58"/>
      <c r="C175" s="59"/>
      <c r="D175" s="59"/>
      <c r="E175" s="60"/>
      <c r="F175" s="60"/>
      <c r="G175" s="61" t="s">
        <v>151</v>
      </c>
      <c r="H175" s="62"/>
      <c r="I175" s="63"/>
      <c r="J175" s="64"/>
      <c r="K175" s="212"/>
      <c r="L175" s="209"/>
      <c r="M175" s="69"/>
      <c r="N175" s="67"/>
      <c r="O175" s="67"/>
      <c r="P175" s="67">
        <v>4000</v>
      </c>
      <c r="Q175" s="67">
        <v>4000</v>
      </c>
      <c r="R175" s="68"/>
      <c r="S175" s="68"/>
      <c r="T175" s="67">
        <f t="shared" si="74"/>
        <v>0</v>
      </c>
      <c r="U175" s="67">
        <f t="shared" si="75"/>
        <v>0</v>
      </c>
      <c r="V175" s="67">
        <f t="shared" si="76"/>
        <v>8000</v>
      </c>
      <c r="W175" s="67"/>
    </row>
    <row r="176" spans="1:23" ht="15.75" customHeight="1" outlineLevel="1">
      <c r="A176" s="48"/>
      <c r="B176" s="49">
        <v>7.5</v>
      </c>
      <c r="C176" s="329" t="s">
        <v>76</v>
      </c>
      <c r="D176" s="330"/>
      <c r="E176" s="166">
        <v>45869</v>
      </c>
      <c r="F176" s="49" t="s">
        <v>77</v>
      </c>
      <c r="G176" s="251"/>
      <c r="H176" s="57"/>
      <c r="I176" s="57"/>
      <c r="J176" s="169"/>
      <c r="K176" s="179"/>
      <c r="L176" s="223"/>
      <c r="M176" s="57"/>
      <c r="N176" s="91"/>
      <c r="O176" s="57"/>
      <c r="P176" s="57"/>
      <c r="Q176" s="57"/>
      <c r="R176" s="57"/>
      <c r="S176" s="57"/>
      <c r="T176" s="57"/>
      <c r="U176" s="57"/>
      <c r="V176" s="57">
        <f>SUM(V177:V182)</f>
        <v>19508</v>
      </c>
      <c r="W176" s="57"/>
    </row>
    <row r="177" spans="1:23" ht="17.25" customHeight="1" outlineLevel="2">
      <c r="A177" s="48"/>
      <c r="B177" s="58"/>
      <c r="C177" s="59"/>
      <c r="D177" s="59"/>
      <c r="E177" s="60"/>
      <c r="F177" s="60"/>
      <c r="G177" s="61" t="s">
        <v>32</v>
      </c>
      <c r="H177" s="62"/>
      <c r="I177" s="63"/>
      <c r="J177" s="64"/>
      <c r="K177" s="206"/>
      <c r="L177" s="209"/>
      <c r="M177" s="69"/>
      <c r="N177" s="252"/>
      <c r="O177" s="110">
        <v>3579</v>
      </c>
      <c r="P177" s="108">
        <v>3429</v>
      </c>
      <c r="Q177" s="67"/>
      <c r="R177" s="68"/>
      <c r="S177" s="68"/>
      <c r="T177" s="67">
        <f t="shared" ref="T177:T182" si="77">SUM(H177:N177)</f>
        <v>0</v>
      </c>
      <c r="U177" s="67">
        <f t="shared" ref="U177:U182" si="78">SUM(H177:K177)</f>
        <v>0</v>
      </c>
      <c r="V177" s="67">
        <f t="shared" ref="V177:V182" si="79">SUM(O177:S177)</f>
        <v>7008</v>
      </c>
      <c r="W177" s="67"/>
    </row>
    <row r="178" spans="1:23" ht="17.25" customHeight="1" outlineLevel="2">
      <c r="A178" s="48"/>
      <c r="B178" s="58"/>
      <c r="C178" s="59"/>
      <c r="D178" s="59"/>
      <c r="E178" s="60"/>
      <c r="F178" s="60"/>
      <c r="G178" s="61" t="s">
        <v>33</v>
      </c>
      <c r="H178" s="62"/>
      <c r="I178" s="63"/>
      <c r="J178" s="64"/>
      <c r="K178" s="206"/>
      <c r="L178" s="209"/>
      <c r="M178" s="69"/>
      <c r="N178" s="252"/>
      <c r="O178" s="236"/>
      <c r="P178" s="253"/>
      <c r="Q178" s="67"/>
      <c r="R178" s="68"/>
      <c r="S178" s="68"/>
      <c r="T178" s="67">
        <f t="shared" si="77"/>
        <v>0</v>
      </c>
      <c r="U178" s="67">
        <f t="shared" si="78"/>
        <v>0</v>
      </c>
      <c r="V178" s="67">
        <f t="shared" si="79"/>
        <v>0</v>
      </c>
      <c r="W178" s="67"/>
    </row>
    <row r="179" spans="1:23" ht="17.25" customHeight="1" outlineLevel="2">
      <c r="A179" s="48"/>
      <c r="B179" s="58"/>
      <c r="C179" s="59"/>
      <c r="D179" s="59"/>
      <c r="E179" s="60"/>
      <c r="F179" s="60"/>
      <c r="G179" s="61" t="s">
        <v>34</v>
      </c>
      <c r="H179" s="62"/>
      <c r="I179" s="63"/>
      <c r="J179" s="64"/>
      <c r="K179" s="206"/>
      <c r="L179" s="210"/>
      <c r="M179" s="92"/>
      <c r="N179" s="252"/>
      <c r="O179" s="239">
        <v>2500</v>
      </c>
      <c r="P179" s="253">
        <v>1000</v>
      </c>
      <c r="Q179" s="67"/>
      <c r="R179" s="68"/>
      <c r="S179" s="68"/>
      <c r="T179" s="67">
        <f t="shared" si="77"/>
        <v>0</v>
      </c>
      <c r="U179" s="67">
        <f t="shared" si="78"/>
        <v>0</v>
      </c>
      <c r="V179" s="67">
        <f t="shared" si="79"/>
        <v>3500</v>
      </c>
      <c r="W179" s="67"/>
    </row>
    <row r="180" spans="1:23" ht="17.25" customHeight="1" outlineLevel="2">
      <c r="A180" s="48"/>
      <c r="B180" s="58"/>
      <c r="C180" s="59"/>
      <c r="D180" s="59"/>
      <c r="E180" s="60"/>
      <c r="F180" s="60"/>
      <c r="G180" s="61" t="s">
        <v>35</v>
      </c>
      <c r="H180" s="62"/>
      <c r="I180" s="63"/>
      <c r="J180" s="64"/>
      <c r="K180" s="206"/>
      <c r="L180" s="210"/>
      <c r="M180" s="92"/>
      <c r="N180" s="254"/>
      <c r="O180" s="239">
        <v>3000</v>
      </c>
      <c r="P180" s="239">
        <v>1000</v>
      </c>
      <c r="Q180" s="67"/>
      <c r="R180" s="68"/>
      <c r="S180" s="68"/>
      <c r="T180" s="67">
        <f t="shared" si="77"/>
        <v>0</v>
      </c>
      <c r="U180" s="67">
        <f t="shared" si="78"/>
        <v>0</v>
      </c>
      <c r="V180" s="67">
        <f t="shared" si="79"/>
        <v>4000</v>
      </c>
      <c r="W180" s="67"/>
    </row>
    <row r="181" spans="1:23" ht="17.25" customHeight="1" outlineLevel="2">
      <c r="A181" s="48"/>
      <c r="B181" s="58"/>
      <c r="C181" s="59"/>
      <c r="D181" s="59"/>
      <c r="E181" s="60"/>
      <c r="F181" s="60"/>
      <c r="G181" s="61" t="s">
        <v>36</v>
      </c>
      <c r="H181" s="62"/>
      <c r="I181" s="63"/>
      <c r="J181" s="64"/>
      <c r="K181" s="206"/>
      <c r="L181" s="209"/>
      <c r="M181" s="69"/>
      <c r="N181" s="255"/>
      <c r="O181" s="256"/>
      <c r="P181" s="257"/>
      <c r="Q181" s="67"/>
      <c r="R181" s="68"/>
      <c r="S181" s="68"/>
      <c r="T181" s="67">
        <f t="shared" si="77"/>
        <v>0</v>
      </c>
      <c r="U181" s="67">
        <f t="shared" si="78"/>
        <v>0</v>
      </c>
      <c r="V181" s="67">
        <f t="shared" si="79"/>
        <v>0</v>
      </c>
      <c r="W181" s="67">
        <f>SUM(L181:S181)</f>
        <v>0</v>
      </c>
    </row>
    <row r="182" spans="1:23" ht="17.25" customHeight="1" outlineLevel="2">
      <c r="A182" s="48"/>
      <c r="B182" s="58"/>
      <c r="C182" s="59"/>
      <c r="D182" s="59"/>
      <c r="E182" s="60"/>
      <c r="F182" s="60"/>
      <c r="G182" s="61" t="s">
        <v>151</v>
      </c>
      <c r="H182" s="62"/>
      <c r="I182" s="63"/>
      <c r="J182" s="64"/>
      <c r="K182" s="212"/>
      <c r="L182" s="209"/>
      <c r="M182" s="69"/>
      <c r="N182" s="252"/>
      <c r="O182" s="236">
        <v>3500</v>
      </c>
      <c r="P182" s="253">
        <v>1500</v>
      </c>
      <c r="Q182" s="67"/>
      <c r="R182" s="68"/>
      <c r="S182" s="68"/>
      <c r="T182" s="67">
        <f t="shared" si="77"/>
        <v>0</v>
      </c>
      <c r="U182" s="67">
        <f t="shared" si="78"/>
        <v>0</v>
      </c>
      <c r="V182" s="67">
        <f t="shared" si="79"/>
        <v>5000</v>
      </c>
      <c r="W182" s="67"/>
    </row>
    <row r="183" spans="1:23" ht="15.75" customHeight="1" outlineLevel="1">
      <c r="A183" s="48"/>
      <c r="B183" s="49">
        <v>7.9</v>
      </c>
      <c r="C183" s="329" t="s">
        <v>82</v>
      </c>
      <c r="D183" s="330"/>
      <c r="E183" s="49" t="s">
        <v>150</v>
      </c>
      <c r="F183" s="116">
        <v>45960</v>
      </c>
      <c r="G183" s="51"/>
      <c r="H183" s="57"/>
      <c r="I183" s="57"/>
      <c r="J183" s="169"/>
      <c r="K183" s="179"/>
      <c r="L183" s="223"/>
      <c r="M183" s="57"/>
      <c r="N183" s="57"/>
      <c r="O183" s="91"/>
      <c r="P183" s="91"/>
      <c r="Q183" s="57"/>
      <c r="R183" s="57"/>
      <c r="S183" s="57"/>
      <c r="T183" s="57">
        <f t="shared" ref="T183:W183" si="80">SUM(T184:T189)</f>
        <v>0</v>
      </c>
      <c r="U183" s="57">
        <f t="shared" si="80"/>
        <v>0</v>
      </c>
      <c r="V183" s="57">
        <f t="shared" si="80"/>
        <v>29827</v>
      </c>
      <c r="W183" s="57">
        <f t="shared" si="80"/>
        <v>0</v>
      </c>
    </row>
    <row r="184" spans="1:23" ht="17.25" customHeight="1" outlineLevel="2">
      <c r="A184" s="48"/>
      <c r="B184" s="58"/>
      <c r="C184" s="59"/>
      <c r="D184" s="59"/>
      <c r="E184" s="60"/>
      <c r="F184" s="60"/>
      <c r="G184" s="61" t="s">
        <v>32</v>
      </c>
      <c r="H184" s="62"/>
      <c r="I184" s="63"/>
      <c r="J184" s="64"/>
      <c r="K184" s="206"/>
      <c r="L184" s="209"/>
      <c r="M184" s="69"/>
      <c r="N184" s="67"/>
      <c r="O184" s="67"/>
      <c r="P184" s="110">
        <v>7311</v>
      </c>
      <c r="Q184" s="110">
        <v>7516</v>
      </c>
      <c r="R184" s="68"/>
      <c r="S184" s="68"/>
      <c r="T184" s="67"/>
      <c r="U184" s="67"/>
      <c r="V184" s="67">
        <f t="shared" ref="V184:V189" si="81">SUM(L184:S184)</f>
        <v>14827</v>
      </c>
      <c r="W184" s="67"/>
    </row>
    <row r="185" spans="1:23" ht="17.25" customHeight="1" outlineLevel="2">
      <c r="A185" s="48"/>
      <c r="B185" s="58"/>
      <c r="C185" s="59"/>
      <c r="D185" s="59"/>
      <c r="E185" s="60"/>
      <c r="F185" s="60"/>
      <c r="G185" s="61" t="s">
        <v>33</v>
      </c>
      <c r="H185" s="62"/>
      <c r="I185" s="63"/>
      <c r="J185" s="64"/>
      <c r="K185" s="206"/>
      <c r="L185" s="209"/>
      <c r="M185" s="69"/>
      <c r="N185" s="67"/>
      <c r="O185" s="67"/>
      <c r="P185" s="219">
        <v>2000</v>
      </c>
      <c r="Q185" s="219">
        <v>2000</v>
      </c>
      <c r="R185" s="68"/>
      <c r="S185" s="68"/>
      <c r="T185" s="67"/>
      <c r="U185" s="67"/>
      <c r="V185" s="67">
        <f t="shared" si="81"/>
        <v>4000</v>
      </c>
      <c r="W185" s="67"/>
    </row>
    <row r="186" spans="1:23" ht="17.25" customHeight="1" outlineLevel="2">
      <c r="A186" s="48"/>
      <c r="B186" s="58"/>
      <c r="C186" s="59"/>
      <c r="D186" s="59"/>
      <c r="E186" s="60"/>
      <c r="F186" s="60"/>
      <c r="G186" s="61" t="s">
        <v>34</v>
      </c>
      <c r="H186" s="62"/>
      <c r="I186" s="63"/>
      <c r="J186" s="64"/>
      <c r="K186" s="206"/>
      <c r="L186" s="210"/>
      <c r="M186" s="92"/>
      <c r="N186" s="67"/>
      <c r="O186" s="67"/>
      <c r="P186" s="219">
        <v>2500</v>
      </c>
      <c r="Q186" s="219">
        <v>2500</v>
      </c>
      <c r="R186" s="68"/>
      <c r="S186" s="68"/>
      <c r="T186" s="67"/>
      <c r="U186" s="67"/>
      <c r="V186" s="67">
        <f t="shared" si="81"/>
        <v>5000</v>
      </c>
      <c r="W186" s="67"/>
    </row>
    <row r="187" spans="1:23" ht="17.25" customHeight="1" outlineLevel="2">
      <c r="A187" s="48"/>
      <c r="B187" s="58"/>
      <c r="C187" s="59"/>
      <c r="D187" s="59"/>
      <c r="E187" s="60"/>
      <c r="F187" s="60"/>
      <c r="G187" s="61" t="s">
        <v>35</v>
      </c>
      <c r="H187" s="62"/>
      <c r="I187" s="63"/>
      <c r="J187" s="64"/>
      <c r="K187" s="206"/>
      <c r="L187" s="210"/>
      <c r="M187" s="92"/>
      <c r="N187" s="67"/>
      <c r="O187" s="67"/>
      <c r="P187" s="67"/>
      <c r="Q187" s="67"/>
      <c r="R187" s="68"/>
      <c r="S187" s="68"/>
      <c r="T187" s="67"/>
      <c r="U187" s="67"/>
      <c r="V187" s="67">
        <f t="shared" si="81"/>
        <v>0</v>
      </c>
      <c r="W187" s="67"/>
    </row>
    <row r="188" spans="1:23" ht="17.25" customHeight="1" outlineLevel="2">
      <c r="A188" s="48"/>
      <c r="B188" s="58"/>
      <c r="C188" s="59"/>
      <c r="D188" s="59"/>
      <c r="E188" s="60"/>
      <c r="F188" s="60"/>
      <c r="G188" s="61" t="s">
        <v>36</v>
      </c>
      <c r="H188" s="62"/>
      <c r="I188" s="63"/>
      <c r="J188" s="64"/>
      <c r="K188" s="206"/>
      <c r="L188" s="209"/>
      <c r="M188" s="69"/>
      <c r="N188" s="67"/>
      <c r="O188" s="67"/>
      <c r="P188" s="67"/>
      <c r="Q188" s="67"/>
      <c r="R188" s="68"/>
      <c r="S188" s="68"/>
      <c r="T188" s="67"/>
      <c r="U188" s="67"/>
      <c r="V188" s="67">
        <f t="shared" si="81"/>
        <v>0</v>
      </c>
      <c r="W188" s="67"/>
    </row>
    <row r="189" spans="1:23" ht="17.25" customHeight="1" outlineLevel="2">
      <c r="A189" s="48"/>
      <c r="B189" s="58"/>
      <c r="C189" s="59"/>
      <c r="D189" s="59"/>
      <c r="E189" s="60"/>
      <c r="F189" s="60"/>
      <c r="G189" s="61" t="s">
        <v>151</v>
      </c>
      <c r="H189" s="62"/>
      <c r="I189" s="63"/>
      <c r="J189" s="64"/>
      <c r="K189" s="212"/>
      <c r="L189" s="209"/>
      <c r="M189" s="69"/>
      <c r="N189" s="67"/>
      <c r="O189" s="67"/>
      <c r="P189" s="67">
        <v>3000</v>
      </c>
      <c r="Q189" s="67">
        <v>3000</v>
      </c>
      <c r="R189" s="68"/>
      <c r="S189" s="68"/>
      <c r="T189" s="67"/>
      <c r="U189" s="67"/>
      <c r="V189" s="67">
        <f t="shared" si="81"/>
        <v>6000</v>
      </c>
      <c r="W189" s="67"/>
    </row>
    <row r="190" spans="1:23" ht="21" customHeight="1">
      <c r="A190" s="19"/>
      <c r="B190" s="39" t="s">
        <v>91</v>
      </c>
      <c r="C190" s="70" t="s">
        <v>92</v>
      </c>
      <c r="D190" s="42"/>
      <c r="E190" s="71"/>
      <c r="F190" s="71"/>
      <c r="G190" s="72"/>
      <c r="H190" s="111"/>
      <c r="I190" s="112"/>
      <c r="J190" s="113"/>
      <c r="K190" s="230"/>
      <c r="L190" s="231"/>
      <c r="M190" s="111"/>
      <c r="N190" s="111"/>
      <c r="O190" s="111"/>
      <c r="P190" s="111"/>
      <c r="Q190" s="111"/>
      <c r="R190" s="111"/>
      <c r="S190" s="111"/>
      <c r="T190" s="115">
        <f t="shared" ref="T190:W190" si="82">SUM(T191:T200)</f>
        <v>11532</v>
      </c>
      <c r="U190" s="115">
        <f t="shared" si="82"/>
        <v>0</v>
      </c>
      <c r="V190" s="115">
        <f t="shared" si="82"/>
        <v>10011</v>
      </c>
      <c r="W190" s="115">
        <f t="shared" si="82"/>
        <v>0</v>
      </c>
    </row>
    <row r="191" spans="1:23" ht="15.75" customHeight="1" outlineLevel="1">
      <c r="A191" s="48"/>
      <c r="B191" s="168"/>
      <c r="C191" s="332" t="s">
        <v>152</v>
      </c>
      <c r="D191" s="330"/>
      <c r="E191" s="50">
        <v>45748</v>
      </c>
      <c r="F191" s="50">
        <v>45716</v>
      </c>
      <c r="G191" s="61" t="s">
        <v>34</v>
      </c>
      <c r="H191" s="69"/>
      <c r="I191" s="69"/>
      <c r="J191" s="149"/>
      <c r="K191" s="206">
        <v>210</v>
      </c>
      <c r="L191" s="209">
        <v>424</v>
      </c>
      <c r="M191" s="69">
        <v>399</v>
      </c>
      <c r="N191" s="248">
        <v>401</v>
      </c>
      <c r="O191" s="69">
        <v>160</v>
      </c>
      <c r="P191" s="69">
        <v>151</v>
      </c>
      <c r="Q191" s="69"/>
      <c r="R191" s="69"/>
      <c r="S191" s="69"/>
      <c r="T191" s="69">
        <f t="shared" ref="T191:T200" si="83">SUM(H191:N191)</f>
        <v>1434</v>
      </c>
      <c r="U191" s="69"/>
      <c r="V191" s="69">
        <f t="shared" ref="V191:V200" si="84">SUM(O191:S191)</f>
        <v>311</v>
      </c>
      <c r="W191" s="69"/>
    </row>
    <row r="192" spans="1:23" ht="15.75" customHeight="1" outlineLevel="1">
      <c r="A192" s="48"/>
      <c r="B192" s="168"/>
      <c r="C192" s="332" t="s">
        <v>153</v>
      </c>
      <c r="D192" s="330"/>
      <c r="E192" s="50">
        <v>45778</v>
      </c>
      <c r="F192" s="50">
        <v>45991</v>
      </c>
      <c r="G192" s="61" t="s">
        <v>34</v>
      </c>
      <c r="H192" s="69"/>
      <c r="I192" s="69"/>
      <c r="J192" s="149"/>
      <c r="K192" s="206"/>
      <c r="L192" s="209">
        <v>150</v>
      </c>
      <c r="M192" s="69">
        <v>0</v>
      </c>
      <c r="N192" s="248">
        <v>150</v>
      </c>
      <c r="O192" s="69">
        <v>430</v>
      </c>
      <c r="P192" s="69">
        <v>430</v>
      </c>
      <c r="Q192" s="69">
        <v>430</v>
      </c>
      <c r="R192" s="69">
        <v>430</v>
      </c>
      <c r="S192" s="69"/>
      <c r="T192" s="69">
        <f t="shared" si="83"/>
        <v>300</v>
      </c>
      <c r="U192" s="69"/>
      <c r="V192" s="69">
        <f t="shared" si="84"/>
        <v>1720</v>
      </c>
      <c r="W192" s="69"/>
    </row>
    <row r="193" spans="1:23" ht="15.75" customHeight="1" outlineLevel="1">
      <c r="A193" s="48"/>
      <c r="B193" s="168"/>
      <c r="C193" s="332" t="s">
        <v>154</v>
      </c>
      <c r="D193" s="330"/>
      <c r="E193" s="50">
        <v>45901</v>
      </c>
      <c r="F193" s="50">
        <v>46021</v>
      </c>
      <c r="G193" s="61" t="s">
        <v>34</v>
      </c>
      <c r="H193" s="69"/>
      <c r="I193" s="69"/>
      <c r="J193" s="149"/>
      <c r="K193" s="206"/>
      <c r="L193" s="209"/>
      <c r="M193" s="69"/>
      <c r="N193" s="69"/>
      <c r="O193" s="69"/>
      <c r="P193" s="69">
        <v>375</v>
      </c>
      <c r="Q193" s="69">
        <v>375</v>
      </c>
      <c r="R193" s="69">
        <v>375</v>
      </c>
      <c r="S193" s="69">
        <v>375</v>
      </c>
      <c r="T193" s="69">
        <f t="shared" si="83"/>
        <v>0</v>
      </c>
      <c r="U193" s="69"/>
      <c r="V193" s="69">
        <f t="shared" si="84"/>
        <v>1500</v>
      </c>
      <c r="W193" s="69"/>
    </row>
    <row r="194" spans="1:23" ht="15.75" customHeight="1" outlineLevel="1">
      <c r="A194" s="48"/>
      <c r="B194" s="168"/>
      <c r="C194" s="329" t="s">
        <v>155</v>
      </c>
      <c r="D194" s="330"/>
      <c r="E194" s="50">
        <v>45809</v>
      </c>
      <c r="F194" s="50">
        <v>45960</v>
      </c>
      <c r="G194" s="61" t="s">
        <v>34</v>
      </c>
      <c r="H194" s="69"/>
      <c r="I194" s="69"/>
      <c r="J194" s="149"/>
      <c r="K194" s="206"/>
      <c r="L194" s="209"/>
      <c r="M194" s="69"/>
      <c r="N194" s="248">
        <v>0</v>
      </c>
      <c r="O194" s="69">
        <v>500</v>
      </c>
      <c r="P194" s="69">
        <v>500</v>
      </c>
      <c r="Q194" s="69">
        <v>500</v>
      </c>
      <c r="R194" s="69"/>
      <c r="S194" s="69"/>
      <c r="T194" s="69">
        <f t="shared" si="83"/>
        <v>0</v>
      </c>
      <c r="U194" s="69"/>
      <c r="V194" s="69">
        <f t="shared" si="84"/>
        <v>1500</v>
      </c>
      <c r="W194" s="69"/>
    </row>
    <row r="195" spans="1:23" ht="15.75" customHeight="1" outlineLevel="1">
      <c r="A195" s="48"/>
      <c r="B195" s="168"/>
      <c r="C195" s="329" t="s">
        <v>156</v>
      </c>
      <c r="D195" s="330"/>
      <c r="E195" s="50">
        <v>45870</v>
      </c>
      <c r="F195" s="50">
        <v>45930</v>
      </c>
      <c r="G195" s="61" t="s">
        <v>34</v>
      </c>
      <c r="H195" s="69"/>
      <c r="I195" s="69"/>
      <c r="J195" s="149"/>
      <c r="K195" s="206"/>
      <c r="L195" s="209"/>
      <c r="M195" s="69"/>
      <c r="N195" s="248">
        <v>0</v>
      </c>
      <c r="O195" s="69">
        <v>1500</v>
      </c>
      <c r="P195" s="69">
        <v>1000</v>
      </c>
      <c r="Q195" s="69"/>
      <c r="R195" s="69"/>
      <c r="S195" s="69"/>
      <c r="T195" s="69">
        <f t="shared" si="83"/>
        <v>0</v>
      </c>
      <c r="U195" s="69"/>
      <c r="V195" s="69">
        <f t="shared" si="84"/>
        <v>2500</v>
      </c>
      <c r="W195" s="69"/>
    </row>
    <row r="196" spans="1:23" ht="15.75" customHeight="1" outlineLevel="1">
      <c r="A196" s="48"/>
      <c r="B196" s="49"/>
      <c r="C196" s="329" t="s">
        <v>157</v>
      </c>
      <c r="D196" s="330"/>
      <c r="E196" s="50">
        <v>45809</v>
      </c>
      <c r="F196" s="50">
        <v>45869</v>
      </c>
      <c r="G196" s="61" t="s">
        <v>34</v>
      </c>
      <c r="H196" s="69"/>
      <c r="I196" s="69"/>
      <c r="J196" s="149"/>
      <c r="K196" s="206"/>
      <c r="L196" s="209"/>
      <c r="M196" s="69">
        <v>1563</v>
      </c>
      <c r="N196" s="248">
        <v>1462</v>
      </c>
      <c r="O196" s="69"/>
      <c r="P196" s="69"/>
      <c r="Q196" s="69"/>
      <c r="R196" s="69"/>
      <c r="S196" s="69"/>
      <c r="T196" s="69">
        <f t="shared" si="83"/>
        <v>3025</v>
      </c>
      <c r="U196" s="69"/>
      <c r="V196" s="69">
        <f t="shared" si="84"/>
        <v>0</v>
      </c>
      <c r="W196" s="69"/>
    </row>
    <row r="197" spans="1:23" ht="15.75" customHeight="1" outlineLevel="1">
      <c r="A197" s="48"/>
      <c r="B197" s="49"/>
      <c r="C197" s="329" t="s">
        <v>105</v>
      </c>
      <c r="D197" s="330"/>
      <c r="E197" s="50">
        <v>45717</v>
      </c>
      <c r="F197" s="50">
        <v>45746</v>
      </c>
      <c r="G197" s="61" t="s">
        <v>34</v>
      </c>
      <c r="H197" s="130"/>
      <c r="I197" s="130"/>
      <c r="J197" s="206">
        <v>145</v>
      </c>
      <c r="K197" s="206">
        <v>975</v>
      </c>
      <c r="L197" s="209">
        <v>975</v>
      </c>
      <c r="M197" s="258">
        <v>978</v>
      </c>
      <c r="N197" s="259">
        <v>557</v>
      </c>
      <c r="O197" s="130"/>
      <c r="P197" s="130"/>
      <c r="Q197" s="130"/>
      <c r="R197" s="130"/>
      <c r="S197" s="130"/>
      <c r="T197" s="69">
        <f t="shared" si="83"/>
        <v>3630</v>
      </c>
      <c r="U197" s="130"/>
      <c r="V197" s="69">
        <f t="shared" si="84"/>
        <v>0</v>
      </c>
      <c r="W197" s="130"/>
    </row>
    <row r="198" spans="1:23" ht="15.75" customHeight="1" outlineLevel="1">
      <c r="A198" s="48"/>
      <c r="B198" s="49"/>
      <c r="C198" s="329" t="s">
        <v>158</v>
      </c>
      <c r="D198" s="330"/>
      <c r="E198" s="50">
        <v>45870</v>
      </c>
      <c r="F198" s="50">
        <v>45915</v>
      </c>
      <c r="G198" s="61" t="s">
        <v>34</v>
      </c>
      <c r="H198" s="130"/>
      <c r="I198" s="130"/>
      <c r="J198" s="206"/>
      <c r="K198" s="206"/>
      <c r="L198" s="209"/>
      <c r="M198" s="258"/>
      <c r="N198" s="258"/>
      <c r="O198" s="130">
        <v>1000</v>
      </c>
      <c r="P198" s="130"/>
      <c r="Q198" s="130"/>
      <c r="R198" s="130"/>
      <c r="S198" s="130"/>
      <c r="T198" s="69">
        <f t="shared" si="83"/>
        <v>0</v>
      </c>
      <c r="U198" s="130"/>
      <c r="V198" s="69">
        <f t="shared" si="84"/>
        <v>1000</v>
      </c>
      <c r="W198" s="130"/>
    </row>
    <row r="199" spans="1:23" ht="15.75" customHeight="1" outlineLevel="1">
      <c r="A199" s="48"/>
      <c r="B199" s="168"/>
      <c r="C199" s="329" t="s">
        <v>159</v>
      </c>
      <c r="D199" s="330"/>
      <c r="E199" s="50">
        <v>45828</v>
      </c>
      <c r="F199" s="50">
        <v>45838</v>
      </c>
      <c r="G199" s="61" t="s">
        <v>34</v>
      </c>
      <c r="H199" s="69"/>
      <c r="I199" s="69"/>
      <c r="J199" s="149" t="s">
        <v>160</v>
      </c>
      <c r="K199" s="206"/>
      <c r="L199" s="209"/>
      <c r="M199" s="69"/>
      <c r="N199" s="69"/>
      <c r="O199" s="69"/>
      <c r="P199" s="69"/>
      <c r="Q199" s="69"/>
      <c r="R199" s="69"/>
      <c r="S199" s="69"/>
      <c r="T199" s="69">
        <f t="shared" si="83"/>
        <v>0</v>
      </c>
      <c r="U199" s="69"/>
      <c r="V199" s="69">
        <f t="shared" si="84"/>
        <v>0</v>
      </c>
      <c r="W199" s="69"/>
    </row>
    <row r="200" spans="1:23" ht="15.75" customHeight="1" outlineLevel="1">
      <c r="A200" s="48"/>
      <c r="B200" s="168"/>
      <c r="C200" s="332" t="s">
        <v>94</v>
      </c>
      <c r="D200" s="330"/>
      <c r="E200" s="50"/>
      <c r="F200" s="50"/>
      <c r="G200" s="61" t="s">
        <v>34</v>
      </c>
      <c r="H200" s="69">
        <v>307</v>
      </c>
      <c r="I200" s="69">
        <v>1533</v>
      </c>
      <c r="J200" s="149">
        <v>204</v>
      </c>
      <c r="K200" s="206">
        <v>1099</v>
      </c>
      <c r="L200" s="209"/>
      <c r="M200" s="69"/>
      <c r="N200" s="69"/>
      <c r="O200" s="69"/>
      <c r="P200" s="69">
        <v>370</v>
      </c>
      <c r="Q200" s="69">
        <v>370</v>
      </c>
      <c r="R200" s="69">
        <v>370</v>
      </c>
      <c r="S200" s="69">
        <v>370</v>
      </c>
      <c r="T200" s="69">
        <f t="shared" si="83"/>
        <v>3143</v>
      </c>
      <c r="U200" s="69"/>
      <c r="V200" s="69">
        <f t="shared" si="84"/>
        <v>1480</v>
      </c>
      <c r="W200" s="69"/>
    </row>
    <row r="201" spans="1:23" ht="21" customHeight="1">
      <c r="A201" s="19"/>
      <c r="B201" s="31">
        <v>8</v>
      </c>
      <c r="C201" s="32" t="s">
        <v>95</v>
      </c>
      <c r="D201" s="33"/>
      <c r="E201" s="33"/>
      <c r="F201" s="33"/>
      <c r="G201" s="173"/>
      <c r="H201" s="173"/>
      <c r="I201" s="173"/>
      <c r="J201" s="173"/>
      <c r="K201" s="260"/>
      <c r="L201" s="261"/>
      <c r="M201" s="173"/>
      <c r="N201" s="173"/>
      <c r="O201" s="173"/>
      <c r="P201" s="173"/>
      <c r="Q201" s="173"/>
      <c r="R201" s="173"/>
      <c r="S201" s="173"/>
      <c r="T201" s="175">
        <f t="shared" ref="T201:W201" si="85">T202+T207+T211+T215+T216+T217+T218</f>
        <v>0</v>
      </c>
      <c r="U201" s="175">
        <f t="shared" si="85"/>
        <v>237447</v>
      </c>
      <c r="V201" s="175">
        <f t="shared" si="85"/>
        <v>0</v>
      </c>
      <c r="W201" s="175">
        <f t="shared" si="85"/>
        <v>126390</v>
      </c>
    </row>
    <row r="202" spans="1:23" ht="15.75" customHeight="1" outlineLevel="1">
      <c r="A202" s="48"/>
      <c r="B202" s="49">
        <v>8.1</v>
      </c>
      <c r="C202" s="329" t="s">
        <v>96</v>
      </c>
      <c r="D202" s="330"/>
      <c r="E202" s="50">
        <v>45658</v>
      </c>
      <c r="F202" s="50">
        <v>46021</v>
      </c>
      <c r="G202" s="135"/>
      <c r="H202" s="57"/>
      <c r="I202" s="57"/>
      <c r="J202" s="169"/>
      <c r="K202" s="179"/>
      <c r="L202" s="223"/>
      <c r="M202" s="57"/>
      <c r="N202" s="57"/>
      <c r="O202" s="57"/>
      <c r="P202" s="57"/>
      <c r="Q202" s="57"/>
      <c r="R202" s="57"/>
      <c r="S202" s="57"/>
      <c r="T202" s="57"/>
      <c r="U202" s="57">
        <f>SUM(U203:U206)</f>
        <v>113050</v>
      </c>
      <c r="V202" s="57"/>
      <c r="W202" s="57">
        <f>SUM(W203:W206)</f>
        <v>51390</v>
      </c>
    </row>
    <row r="203" spans="1:23" ht="17.25" customHeight="1" outlineLevel="2">
      <c r="A203" s="48"/>
      <c r="B203" s="58"/>
      <c r="C203" s="59"/>
      <c r="D203" s="59"/>
      <c r="E203" s="60"/>
      <c r="F203" s="60"/>
      <c r="G203" s="61" t="s">
        <v>33</v>
      </c>
      <c r="H203" s="69"/>
      <c r="I203" s="69"/>
      <c r="J203" s="149"/>
      <c r="K203" s="206"/>
      <c r="L203" s="209">
        <v>5909</v>
      </c>
      <c r="M203" s="69">
        <v>7163</v>
      </c>
      <c r="N203" s="248">
        <v>2547</v>
      </c>
      <c r="O203" s="69">
        <v>5500</v>
      </c>
      <c r="P203" s="69">
        <v>5500</v>
      </c>
      <c r="Q203" s="69">
        <v>5500</v>
      </c>
      <c r="R203" s="69">
        <v>5500</v>
      </c>
      <c r="S203" s="69">
        <v>5500</v>
      </c>
      <c r="T203" s="69"/>
      <c r="U203" s="69">
        <f t="shared" ref="U203:U206" si="86">SUM(H203:N203)</f>
        <v>15619</v>
      </c>
      <c r="V203" s="69"/>
      <c r="W203" s="69">
        <f t="shared" ref="W203:W206" si="87">SUM(O203:S203)</f>
        <v>27500</v>
      </c>
    </row>
    <row r="204" spans="1:23" ht="17.25" customHeight="1" outlineLevel="2">
      <c r="A204" s="48"/>
      <c r="B204" s="58"/>
      <c r="C204" s="59"/>
      <c r="D204" s="59"/>
      <c r="E204" s="60"/>
      <c r="F204" s="60"/>
      <c r="G204" s="61" t="s">
        <v>34</v>
      </c>
      <c r="H204" s="69">
        <v>4044</v>
      </c>
      <c r="I204" s="69">
        <v>5871</v>
      </c>
      <c r="J204" s="149">
        <v>9837</v>
      </c>
      <c r="K204" s="206">
        <v>3628</v>
      </c>
      <c r="L204" s="209">
        <v>3426</v>
      </c>
      <c r="M204" s="69">
        <v>10341</v>
      </c>
      <c r="N204" s="248">
        <v>14861</v>
      </c>
      <c r="O204" s="69">
        <v>3500</v>
      </c>
      <c r="P204" s="69">
        <v>3500</v>
      </c>
      <c r="Q204" s="69">
        <v>3500</v>
      </c>
      <c r="R204" s="69">
        <v>3500</v>
      </c>
      <c r="S204" s="69">
        <v>3500</v>
      </c>
      <c r="T204" s="69"/>
      <c r="U204" s="69">
        <f t="shared" si="86"/>
        <v>52008</v>
      </c>
      <c r="V204" s="69"/>
      <c r="W204" s="69">
        <f t="shared" si="87"/>
        <v>17500</v>
      </c>
    </row>
    <row r="205" spans="1:23" ht="15.75" customHeight="1" outlineLevel="2">
      <c r="A205" s="48"/>
      <c r="B205" s="58"/>
      <c r="C205" s="59"/>
      <c r="D205" s="59"/>
      <c r="E205" s="60"/>
      <c r="F205" s="60"/>
      <c r="G205" s="61" t="s">
        <v>85</v>
      </c>
      <c r="H205" s="69">
        <v>3557</v>
      </c>
      <c r="I205" s="69">
        <v>3303</v>
      </c>
      <c r="J205" s="149">
        <v>6880</v>
      </c>
      <c r="K205" s="206">
        <v>7721</v>
      </c>
      <c r="L205" s="209">
        <v>6986</v>
      </c>
      <c r="M205" s="69">
        <v>4192</v>
      </c>
      <c r="N205" s="248">
        <v>3070</v>
      </c>
      <c r="O205" s="69"/>
      <c r="P205" s="69"/>
      <c r="Q205" s="69"/>
      <c r="R205" s="69"/>
      <c r="S205" s="69"/>
      <c r="T205" s="69"/>
      <c r="U205" s="69">
        <f t="shared" si="86"/>
        <v>35709</v>
      </c>
      <c r="V205" s="69"/>
      <c r="W205" s="69">
        <f t="shared" si="87"/>
        <v>0</v>
      </c>
    </row>
    <row r="206" spans="1:23" ht="15.75" customHeight="1" outlineLevel="2">
      <c r="A206" s="48"/>
      <c r="B206" s="58"/>
      <c r="C206" s="59"/>
      <c r="D206" s="59"/>
      <c r="E206" s="60"/>
      <c r="F206" s="60"/>
      <c r="G206" s="61" t="s">
        <v>97</v>
      </c>
      <c r="H206" s="69">
        <v>1534</v>
      </c>
      <c r="I206" s="69">
        <v>1534</v>
      </c>
      <c r="J206" s="149">
        <v>1534</v>
      </c>
      <c r="K206" s="206">
        <v>1278</v>
      </c>
      <c r="L206" s="209">
        <v>1278</v>
      </c>
      <c r="M206" s="69">
        <v>1278</v>
      </c>
      <c r="N206" s="248">
        <v>1278</v>
      </c>
      <c r="O206" s="69">
        <v>1278</v>
      </c>
      <c r="P206" s="237">
        <v>1278</v>
      </c>
      <c r="Q206" s="237">
        <v>1278</v>
      </c>
      <c r="R206" s="237">
        <v>1278</v>
      </c>
      <c r="S206" s="237">
        <v>1278</v>
      </c>
      <c r="T206" s="69"/>
      <c r="U206" s="69">
        <f t="shared" si="86"/>
        <v>9714</v>
      </c>
      <c r="V206" s="69"/>
      <c r="W206" s="69">
        <f t="shared" si="87"/>
        <v>6390</v>
      </c>
    </row>
    <row r="207" spans="1:23" ht="15.75" customHeight="1" outlineLevel="1">
      <c r="A207" s="48"/>
      <c r="B207" s="49">
        <v>8.1999999999999993</v>
      </c>
      <c r="C207" s="329" t="s">
        <v>161</v>
      </c>
      <c r="D207" s="330"/>
      <c r="E207" s="50">
        <v>45658</v>
      </c>
      <c r="F207" s="50">
        <v>46021</v>
      </c>
      <c r="G207" s="135"/>
      <c r="H207" s="57"/>
      <c r="I207" s="57"/>
      <c r="J207" s="169"/>
      <c r="K207" s="179"/>
      <c r="L207" s="223"/>
      <c r="M207" s="57"/>
      <c r="N207" s="57"/>
      <c r="O207" s="57"/>
      <c r="P207" s="57"/>
      <c r="Q207" s="57"/>
      <c r="R207" s="57"/>
      <c r="S207" s="57"/>
      <c r="T207" s="57"/>
      <c r="U207" s="57">
        <f>SUM(U208:U210)</f>
        <v>5625</v>
      </c>
      <c r="V207" s="57"/>
      <c r="W207" s="57">
        <f>SUM(W208:W210)</f>
        <v>0</v>
      </c>
    </row>
    <row r="208" spans="1:23" ht="15.75" customHeight="1" outlineLevel="2">
      <c r="A208" s="48"/>
      <c r="B208" s="58"/>
      <c r="C208" s="59"/>
      <c r="D208" s="59"/>
      <c r="E208" s="60"/>
      <c r="F208" s="60"/>
      <c r="G208" s="61" t="s">
        <v>33</v>
      </c>
      <c r="H208" s="69"/>
      <c r="I208" s="69"/>
      <c r="J208" s="149"/>
      <c r="K208" s="206"/>
      <c r="L208" s="209"/>
      <c r="M208" s="69"/>
      <c r="N208" s="69"/>
      <c r="O208" s="69"/>
      <c r="P208" s="69"/>
      <c r="Q208" s="69"/>
      <c r="R208" s="69"/>
      <c r="S208" s="69"/>
      <c r="T208" s="69"/>
      <c r="U208" s="69">
        <f t="shared" ref="U208:U210" si="88">SUM(H208:M208)</f>
        <v>0</v>
      </c>
      <c r="V208" s="69"/>
      <c r="W208" s="176"/>
    </row>
    <row r="209" spans="1:23" ht="15.75" customHeight="1" outlineLevel="2">
      <c r="A209" s="48"/>
      <c r="B209" s="58"/>
      <c r="C209" s="59"/>
      <c r="D209" s="59"/>
      <c r="E209" s="60"/>
      <c r="F209" s="60"/>
      <c r="G209" s="61" t="s">
        <v>34</v>
      </c>
      <c r="H209" s="69">
        <v>1277</v>
      </c>
      <c r="I209" s="69">
        <v>1022</v>
      </c>
      <c r="J209" s="149"/>
      <c r="K209" s="206"/>
      <c r="L209" s="209"/>
      <c r="M209" s="69"/>
      <c r="N209" s="69"/>
      <c r="O209" s="69"/>
      <c r="P209" s="69"/>
      <c r="Q209" s="69"/>
      <c r="R209" s="69"/>
      <c r="S209" s="69"/>
      <c r="T209" s="69"/>
      <c r="U209" s="69">
        <f t="shared" si="88"/>
        <v>2299</v>
      </c>
      <c r="V209" s="69"/>
      <c r="W209" s="176"/>
    </row>
    <row r="210" spans="1:23" ht="15.75" customHeight="1" outlineLevel="2">
      <c r="A210" s="48"/>
      <c r="B210" s="58"/>
      <c r="C210" s="59"/>
      <c r="D210" s="59"/>
      <c r="E210" s="60"/>
      <c r="F210" s="60"/>
      <c r="G210" s="61" t="s">
        <v>85</v>
      </c>
      <c r="H210" s="69">
        <v>758</v>
      </c>
      <c r="I210" s="69">
        <v>767</v>
      </c>
      <c r="J210" s="149"/>
      <c r="K210" s="206">
        <v>1801</v>
      </c>
      <c r="L210" s="209"/>
      <c r="M210" s="69"/>
      <c r="N210" s="69"/>
      <c r="O210" s="69"/>
      <c r="P210" s="69"/>
      <c r="Q210" s="69"/>
      <c r="R210" s="69"/>
      <c r="S210" s="69"/>
      <c r="T210" s="69"/>
      <c r="U210" s="69">
        <f t="shared" si="88"/>
        <v>3326</v>
      </c>
      <c r="V210" s="69"/>
      <c r="W210" s="176"/>
    </row>
    <row r="211" spans="1:23" ht="15.75" customHeight="1" outlineLevel="1">
      <c r="A211" s="48"/>
      <c r="B211" s="49">
        <v>8.3000000000000007</v>
      </c>
      <c r="C211" s="329" t="s">
        <v>99</v>
      </c>
      <c r="D211" s="330"/>
      <c r="E211" s="50">
        <v>45658</v>
      </c>
      <c r="F211" s="50">
        <v>46021</v>
      </c>
      <c r="G211" s="135"/>
      <c r="H211" s="57"/>
      <c r="I211" s="57"/>
      <c r="J211" s="169"/>
      <c r="K211" s="179"/>
      <c r="L211" s="223"/>
      <c r="M211" s="57"/>
      <c r="N211" s="57"/>
      <c r="O211" s="57"/>
      <c r="P211" s="57"/>
      <c r="Q211" s="57"/>
      <c r="R211" s="57"/>
      <c r="S211" s="57"/>
      <c r="T211" s="57"/>
      <c r="U211" s="57">
        <f>SUM(U212:U214)</f>
        <v>2291</v>
      </c>
      <c r="V211" s="57"/>
      <c r="W211" s="57">
        <f>SUM(W212:W214)</f>
        <v>0</v>
      </c>
    </row>
    <row r="212" spans="1:23" ht="17.25" customHeight="1" outlineLevel="2">
      <c r="A212" s="48"/>
      <c r="B212" s="58"/>
      <c r="C212" s="59"/>
      <c r="D212" s="59"/>
      <c r="E212" s="60"/>
      <c r="F212" s="60"/>
      <c r="G212" s="61" t="s">
        <v>33</v>
      </c>
      <c r="H212" s="69"/>
      <c r="I212" s="69"/>
      <c r="J212" s="149"/>
      <c r="K212" s="206"/>
      <c r="L212" s="209"/>
      <c r="M212" s="69"/>
      <c r="N212" s="69"/>
      <c r="O212" s="69"/>
      <c r="P212" s="69"/>
      <c r="Q212" s="69"/>
      <c r="R212" s="69"/>
      <c r="S212" s="69"/>
      <c r="T212" s="69"/>
      <c r="U212" s="69">
        <f t="shared" ref="U212:U214" si="89">SUM(H212:M212)</f>
        <v>0</v>
      </c>
      <c r="V212" s="69"/>
      <c r="W212" s="69">
        <f t="shared" ref="W212:W214" si="90">SUM(N212:S212)</f>
        <v>0</v>
      </c>
    </row>
    <row r="213" spans="1:23" ht="17.25" customHeight="1" outlineLevel="2">
      <c r="A213" s="48"/>
      <c r="B213" s="58"/>
      <c r="C213" s="59"/>
      <c r="D213" s="59"/>
      <c r="E213" s="60"/>
      <c r="F213" s="60"/>
      <c r="G213" s="61" t="s">
        <v>34</v>
      </c>
      <c r="H213" s="69">
        <v>1255</v>
      </c>
      <c r="I213" s="69">
        <v>276</v>
      </c>
      <c r="J213" s="149"/>
      <c r="K213" s="206"/>
      <c r="L213" s="209"/>
      <c r="M213" s="69"/>
      <c r="N213" s="69"/>
      <c r="O213" s="69"/>
      <c r="P213" s="69"/>
      <c r="Q213" s="69"/>
      <c r="R213" s="69"/>
      <c r="S213" s="69"/>
      <c r="T213" s="69"/>
      <c r="U213" s="69">
        <f t="shared" si="89"/>
        <v>1531</v>
      </c>
      <c r="V213" s="69"/>
      <c r="W213" s="69">
        <f t="shared" si="90"/>
        <v>0</v>
      </c>
    </row>
    <row r="214" spans="1:23" ht="15.75" customHeight="1" outlineLevel="2">
      <c r="A214" s="48"/>
      <c r="B214" s="58"/>
      <c r="C214" s="59"/>
      <c r="D214" s="59"/>
      <c r="E214" s="60"/>
      <c r="F214" s="60"/>
      <c r="G214" s="61" t="s">
        <v>85</v>
      </c>
      <c r="H214" s="69"/>
      <c r="I214" s="69">
        <v>760</v>
      </c>
      <c r="J214" s="149"/>
      <c r="K214" s="206"/>
      <c r="L214" s="209"/>
      <c r="M214" s="69"/>
      <c r="N214" s="69"/>
      <c r="O214" s="69"/>
      <c r="P214" s="69"/>
      <c r="Q214" s="69"/>
      <c r="R214" s="69"/>
      <c r="S214" s="69"/>
      <c r="T214" s="69"/>
      <c r="U214" s="69">
        <f t="shared" si="89"/>
        <v>760</v>
      </c>
      <c r="V214" s="69"/>
      <c r="W214" s="69">
        <f t="shared" si="90"/>
        <v>0</v>
      </c>
    </row>
    <row r="215" spans="1:23" ht="15.75" customHeight="1" outlineLevel="1">
      <c r="A215" s="48"/>
      <c r="B215" s="49">
        <v>8.5</v>
      </c>
      <c r="C215" s="332" t="s">
        <v>162</v>
      </c>
      <c r="D215" s="330"/>
      <c r="E215" s="50">
        <v>45797</v>
      </c>
      <c r="F215" s="50">
        <v>46021</v>
      </c>
      <c r="G215" s="177" t="s">
        <v>163</v>
      </c>
      <c r="H215" s="57"/>
      <c r="I215" s="57"/>
      <c r="J215" s="169"/>
      <c r="K215" s="179"/>
      <c r="L215" s="223"/>
      <c r="M215" s="57"/>
      <c r="N215" s="178">
        <v>18537</v>
      </c>
      <c r="O215" s="57">
        <v>15000</v>
      </c>
      <c r="P215" s="57">
        <v>15000</v>
      </c>
      <c r="Q215" s="57">
        <v>15000</v>
      </c>
      <c r="R215" s="57">
        <v>15000</v>
      </c>
      <c r="S215" s="57">
        <v>15000</v>
      </c>
      <c r="T215" s="57"/>
      <c r="U215" s="57">
        <f t="shared" ref="U215:U218" si="91">SUM(H215:N215)</f>
        <v>18537</v>
      </c>
      <c r="V215" s="57"/>
      <c r="W215" s="57">
        <f t="shared" ref="W215:W218" si="92">SUM(O215:S215)</f>
        <v>75000</v>
      </c>
    </row>
    <row r="216" spans="1:23" ht="15.75" customHeight="1" outlineLevel="1">
      <c r="A216" s="48"/>
      <c r="B216" s="49">
        <v>8.6</v>
      </c>
      <c r="C216" s="332" t="s">
        <v>101</v>
      </c>
      <c r="D216" s="330"/>
      <c r="E216" s="50">
        <v>45658</v>
      </c>
      <c r="F216" s="50">
        <v>46021</v>
      </c>
      <c r="G216" s="177" t="s">
        <v>36</v>
      </c>
      <c r="H216" s="57">
        <v>15733</v>
      </c>
      <c r="I216" s="57">
        <v>15577</v>
      </c>
      <c r="J216" s="169">
        <v>14035</v>
      </c>
      <c r="K216" s="179">
        <v>16915</v>
      </c>
      <c r="L216" s="223">
        <v>16239</v>
      </c>
      <c r="M216" s="57">
        <v>18262</v>
      </c>
      <c r="N216" s="57"/>
      <c r="O216" s="57"/>
      <c r="P216" s="57"/>
      <c r="Q216" s="57"/>
      <c r="R216" s="57"/>
      <c r="S216" s="57"/>
      <c r="T216" s="57"/>
      <c r="U216" s="57">
        <f t="shared" si="91"/>
        <v>96761</v>
      </c>
      <c r="V216" s="57"/>
      <c r="W216" s="57">
        <f t="shared" si="92"/>
        <v>0</v>
      </c>
    </row>
    <row r="217" spans="1:23" ht="15.75" customHeight="1" outlineLevel="1">
      <c r="A217" s="48"/>
      <c r="B217" s="49">
        <v>8.6999999999999993</v>
      </c>
      <c r="C217" s="332" t="s">
        <v>102</v>
      </c>
      <c r="D217" s="330"/>
      <c r="E217" s="50">
        <v>45658</v>
      </c>
      <c r="F217" s="50">
        <v>46021</v>
      </c>
      <c r="G217" s="177" t="s">
        <v>34</v>
      </c>
      <c r="H217" s="57">
        <v>255</v>
      </c>
      <c r="I217" s="57">
        <v>251</v>
      </c>
      <c r="J217" s="169">
        <v>260</v>
      </c>
      <c r="K217" s="179"/>
      <c r="L217" s="223"/>
      <c r="M217" s="57"/>
      <c r="N217" s="57"/>
      <c r="O217" s="57"/>
      <c r="P217" s="57"/>
      <c r="Q217" s="57"/>
      <c r="R217" s="57"/>
      <c r="S217" s="57"/>
      <c r="T217" s="57"/>
      <c r="U217" s="57">
        <f t="shared" si="91"/>
        <v>766</v>
      </c>
      <c r="V217" s="57"/>
      <c r="W217" s="57">
        <f t="shared" si="92"/>
        <v>0</v>
      </c>
    </row>
    <row r="218" spans="1:23" ht="15.75" customHeight="1" outlineLevel="1">
      <c r="A218" s="48"/>
      <c r="B218" s="49">
        <v>8.8000000000000007</v>
      </c>
      <c r="C218" s="332" t="s">
        <v>103</v>
      </c>
      <c r="D218" s="330"/>
      <c r="E218" s="49" t="s">
        <v>81</v>
      </c>
      <c r="F218" s="49" t="s">
        <v>73</v>
      </c>
      <c r="G218" s="177" t="s">
        <v>34</v>
      </c>
      <c r="H218" s="57">
        <v>411</v>
      </c>
      <c r="I218" s="57">
        <v>6</v>
      </c>
      <c r="J218" s="169"/>
      <c r="K218" s="179"/>
      <c r="L218" s="223"/>
      <c r="M218" s="57"/>
      <c r="N218" s="57"/>
      <c r="O218" s="262"/>
      <c r="P218" s="57"/>
      <c r="Q218" s="57"/>
      <c r="R218" s="57"/>
      <c r="S218" s="57"/>
      <c r="T218" s="57"/>
      <c r="U218" s="57">
        <f t="shared" si="91"/>
        <v>417</v>
      </c>
      <c r="V218" s="57"/>
      <c r="W218" s="57">
        <f t="shared" si="92"/>
        <v>0</v>
      </c>
    </row>
    <row r="219" spans="1:23" ht="21" customHeight="1">
      <c r="A219" s="19"/>
      <c r="B219" s="31">
        <v>9</v>
      </c>
      <c r="C219" s="32" t="s">
        <v>104</v>
      </c>
      <c r="D219" s="33"/>
      <c r="E219" s="33"/>
      <c r="F219" s="33"/>
      <c r="G219" s="173"/>
      <c r="H219" s="34"/>
      <c r="I219" s="35"/>
      <c r="J219" s="36"/>
      <c r="K219" s="199"/>
      <c r="L219" s="200"/>
      <c r="M219" s="34"/>
      <c r="N219" s="34"/>
      <c r="O219" s="34"/>
      <c r="P219" s="34"/>
      <c r="Q219" s="34"/>
      <c r="R219" s="34"/>
      <c r="S219" s="34"/>
      <c r="T219" s="38">
        <f>SUM(T220:T225)</f>
        <v>0</v>
      </c>
      <c r="U219" s="263">
        <f>U225+U224+U220</f>
        <v>18202</v>
      </c>
      <c r="V219" s="263">
        <f>SUM(V220:V225)</f>
        <v>0</v>
      </c>
      <c r="W219" s="263">
        <f>W220+W224+W225</f>
        <v>35000</v>
      </c>
    </row>
    <row r="220" spans="1:23" ht="15.75" customHeight="1" outlineLevel="1">
      <c r="A220" s="48"/>
      <c r="B220" s="49">
        <v>9.1999999999999993</v>
      </c>
      <c r="C220" s="332" t="s">
        <v>108</v>
      </c>
      <c r="D220" s="330"/>
      <c r="E220" s="50"/>
      <c r="F220" s="50"/>
      <c r="G220" s="177"/>
      <c r="H220" s="142"/>
      <c r="I220" s="142"/>
      <c r="J220" s="179"/>
      <c r="K220" s="179"/>
      <c r="L220" s="223"/>
      <c r="M220" s="264"/>
      <c r="N220" s="155"/>
      <c r="O220" s="155"/>
      <c r="P220" s="155"/>
      <c r="Q220" s="155"/>
      <c r="R220" s="155"/>
      <c r="S220" s="155"/>
      <c r="T220" s="142"/>
      <c r="U220" s="265">
        <f>SUM(U221:U223)</f>
        <v>8021</v>
      </c>
      <c r="V220" s="266"/>
      <c r="W220" s="265">
        <f>SUM(W221:W223)</f>
        <v>35000</v>
      </c>
    </row>
    <row r="221" spans="1:23" ht="17.25" customHeight="1" outlineLevel="2">
      <c r="A221" s="48"/>
      <c r="B221" s="58"/>
      <c r="C221" s="59"/>
      <c r="D221" s="59"/>
      <c r="E221" s="60"/>
      <c r="F221" s="60"/>
      <c r="G221" s="61" t="s">
        <v>33</v>
      </c>
      <c r="H221" s="69"/>
      <c r="I221" s="69"/>
      <c r="J221" s="149"/>
      <c r="K221" s="206"/>
      <c r="L221" s="209"/>
      <c r="M221" s="69"/>
      <c r="N221" s="69"/>
      <c r="O221" s="69">
        <v>2000</v>
      </c>
      <c r="P221" s="69">
        <v>2000</v>
      </c>
      <c r="Q221" s="69">
        <v>2000</v>
      </c>
      <c r="R221" s="69">
        <v>2000</v>
      </c>
      <c r="S221" s="237">
        <v>2000</v>
      </c>
      <c r="T221" s="69"/>
      <c r="U221" s="69">
        <f t="shared" ref="U221:U225" si="93">SUM(H221:N221)</f>
        <v>0</v>
      </c>
      <c r="V221" s="69"/>
      <c r="W221" s="69">
        <f t="shared" ref="W221:W225" si="94">SUM(O221:S221)</f>
        <v>10000</v>
      </c>
    </row>
    <row r="222" spans="1:23" ht="17.25" customHeight="1" outlineLevel="2">
      <c r="A222" s="48"/>
      <c r="B222" s="58"/>
      <c r="C222" s="59"/>
      <c r="D222" s="59"/>
      <c r="E222" s="60"/>
      <c r="F222" s="60"/>
      <c r="G222" s="61" t="s">
        <v>34</v>
      </c>
      <c r="H222" s="69">
        <v>1022</v>
      </c>
      <c r="I222" s="69">
        <v>1022</v>
      </c>
      <c r="J222" s="149">
        <v>1022</v>
      </c>
      <c r="K222" s="206">
        <v>899</v>
      </c>
      <c r="L222" s="209">
        <v>505</v>
      </c>
      <c r="M222" s="69">
        <v>950</v>
      </c>
      <c r="N222" s="248">
        <v>369</v>
      </c>
      <c r="O222" s="69">
        <v>2000</v>
      </c>
      <c r="P222" s="69">
        <v>2000</v>
      </c>
      <c r="Q222" s="69">
        <v>2000</v>
      </c>
      <c r="R222" s="69">
        <v>2000</v>
      </c>
      <c r="S222" s="237">
        <v>2000</v>
      </c>
      <c r="T222" s="69"/>
      <c r="U222" s="69">
        <f t="shared" si="93"/>
        <v>5789</v>
      </c>
      <c r="V222" s="69"/>
      <c r="W222" s="69">
        <f t="shared" si="94"/>
        <v>10000</v>
      </c>
    </row>
    <row r="223" spans="1:23" ht="15.75" customHeight="1" outlineLevel="2">
      <c r="A223" s="48"/>
      <c r="B223" s="58"/>
      <c r="C223" s="59"/>
      <c r="D223" s="59"/>
      <c r="E223" s="60"/>
      <c r="F223" s="60"/>
      <c r="G223" s="61" t="s">
        <v>85</v>
      </c>
      <c r="H223" s="69"/>
      <c r="I223" s="69"/>
      <c r="J223" s="149"/>
      <c r="K223" s="206"/>
      <c r="L223" s="209">
        <v>223</v>
      </c>
      <c r="M223" s="69"/>
      <c r="N223" s="248">
        <v>2009</v>
      </c>
      <c r="O223" s="69">
        <v>3000</v>
      </c>
      <c r="P223" s="69">
        <v>3000</v>
      </c>
      <c r="Q223" s="69">
        <v>3000</v>
      </c>
      <c r="R223" s="69">
        <v>3000</v>
      </c>
      <c r="S223" s="237">
        <v>3000</v>
      </c>
      <c r="T223" s="69"/>
      <c r="U223" s="69">
        <f t="shared" si="93"/>
        <v>2232</v>
      </c>
      <c r="V223" s="69"/>
      <c r="W223" s="69">
        <f t="shared" si="94"/>
        <v>15000</v>
      </c>
    </row>
    <row r="224" spans="1:23" ht="15.75" customHeight="1" outlineLevel="1">
      <c r="A224" s="48"/>
      <c r="B224" s="49" t="s">
        <v>164</v>
      </c>
      <c r="C224" s="332" t="s">
        <v>110</v>
      </c>
      <c r="D224" s="330"/>
      <c r="E224" s="50">
        <v>45658</v>
      </c>
      <c r="F224" s="50">
        <v>46021</v>
      </c>
      <c r="G224" s="177" t="s">
        <v>34</v>
      </c>
      <c r="H224" s="142">
        <v>1278</v>
      </c>
      <c r="I224" s="142">
        <v>1141</v>
      </c>
      <c r="J224" s="179">
        <v>1104</v>
      </c>
      <c r="K224" s="179">
        <v>2064</v>
      </c>
      <c r="L224" s="223">
        <v>528</v>
      </c>
      <c r="M224" s="181">
        <v>760</v>
      </c>
      <c r="N224" s="267">
        <v>422</v>
      </c>
      <c r="O224" s="142"/>
      <c r="P224" s="142"/>
      <c r="Q224" s="142"/>
      <c r="R224" s="142"/>
      <c r="S224" s="142"/>
      <c r="T224" s="142"/>
      <c r="U224" s="57">
        <f t="shared" si="93"/>
        <v>7297</v>
      </c>
      <c r="V224" s="142"/>
      <c r="W224" s="57">
        <f t="shared" si="94"/>
        <v>0</v>
      </c>
    </row>
    <row r="225" spans="1:23" ht="15.75" customHeight="1" outlineLevel="1">
      <c r="A225" s="48"/>
      <c r="B225" s="49" t="s">
        <v>165</v>
      </c>
      <c r="C225" s="332" t="s">
        <v>112</v>
      </c>
      <c r="D225" s="330"/>
      <c r="E225" s="50">
        <v>45748</v>
      </c>
      <c r="F225" s="50">
        <v>46021</v>
      </c>
      <c r="G225" s="177" t="s">
        <v>34</v>
      </c>
      <c r="H225" s="142"/>
      <c r="I225" s="142"/>
      <c r="J225" s="179">
        <v>765</v>
      </c>
      <c r="K225" s="179">
        <v>684</v>
      </c>
      <c r="L225" s="223">
        <v>344</v>
      </c>
      <c r="M225" s="181">
        <v>634</v>
      </c>
      <c r="N225" s="267">
        <v>457</v>
      </c>
      <c r="O225" s="142"/>
      <c r="P225" s="142"/>
      <c r="Q225" s="142"/>
      <c r="R225" s="142"/>
      <c r="S225" s="142"/>
      <c r="T225" s="142"/>
      <c r="U225" s="57">
        <f t="shared" si="93"/>
        <v>2884</v>
      </c>
      <c r="V225" s="142"/>
      <c r="W225" s="57">
        <f t="shared" si="94"/>
        <v>0</v>
      </c>
    </row>
    <row r="226" spans="1:23" ht="15.75" customHeight="1">
      <c r="A226" s="48"/>
      <c r="B226" s="58"/>
      <c r="C226" s="123"/>
      <c r="D226" s="123"/>
      <c r="E226" s="60"/>
      <c r="F226" s="60"/>
      <c r="G226" s="60"/>
      <c r="H226" s="183"/>
      <c r="I226" s="184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48"/>
      <c r="U226" s="48"/>
      <c r="V226" s="48"/>
      <c r="W226" s="48"/>
    </row>
    <row r="227" spans="1:23" ht="15.75" customHeight="1">
      <c r="A227" s="48"/>
      <c r="B227" s="58"/>
      <c r="C227" s="123"/>
      <c r="D227" s="123"/>
      <c r="E227" s="60"/>
      <c r="F227" s="60"/>
      <c r="G227" s="60"/>
      <c r="H227" s="183"/>
      <c r="I227" s="184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48"/>
      <c r="U227" s="48"/>
      <c r="V227" s="48"/>
      <c r="W227" s="48"/>
    </row>
    <row r="228" spans="1:23" ht="15.75" customHeight="1">
      <c r="A228" s="48"/>
      <c r="B228" s="58"/>
      <c r="C228" s="123"/>
      <c r="D228" s="123"/>
      <c r="E228" s="60"/>
      <c r="F228" s="60"/>
      <c r="G228" s="60"/>
      <c r="H228" s="183"/>
      <c r="I228" s="184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48"/>
      <c r="U228" s="48"/>
      <c r="V228" s="48"/>
      <c r="W228" s="48"/>
    </row>
    <row r="229" spans="1:23" ht="15.75" customHeight="1">
      <c r="A229" s="48"/>
      <c r="B229" s="58"/>
      <c r="C229" s="123"/>
      <c r="D229" s="123"/>
      <c r="E229" s="60"/>
      <c r="F229" s="60"/>
      <c r="G229" s="60"/>
      <c r="H229" s="183"/>
      <c r="I229" s="184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48"/>
      <c r="U229" s="48"/>
      <c r="V229" s="48"/>
      <c r="W229" s="48"/>
    </row>
    <row r="230" spans="1:23" ht="15.75" customHeight="1">
      <c r="A230" s="48"/>
      <c r="B230" s="58"/>
      <c r="C230" s="123"/>
      <c r="D230" s="123"/>
      <c r="F230" s="123"/>
      <c r="G230" s="60"/>
      <c r="I230" s="123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48"/>
      <c r="U230" s="48"/>
      <c r="V230" s="48"/>
      <c r="W230" s="48"/>
    </row>
    <row r="231" spans="1:23" ht="15.75" customHeight="1">
      <c r="A231" s="48"/>
      <c r="B231" s="58"/>
      <c r="C231" s="186"/>
      <c r="D231" s="186"/>
      <c r="E231" s="60"/>
      <c r="F231" s="58"/>
      <c r="G231" s="60"/>
      <c r="H231" s="183"/>
      <c r="I231" s="184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48"/>
      <c r="U231" s="48"/>
      <c r="V231" s="48"/>
      <c r="W231" s="48"/>
    </row>
    <row r="232" spans="1:23" ht="15.75" customHeight="1">
      <c r="A232" s="48"/>
      <c r="B232" s="58"/>
      <c r="C232" s="123"/>
      <c r="D232" s="123"/>
      <c r="E232" s="60"/>
      <c r="F232" s="58"/>
      <c r="G232" s="60"/>
      <c r="H232" s="183"/>
      <c r="I232" s="184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48"/>
      <c r="U232" s="48"/>
      <c r="V232" s="48"/>
      <c r="W232" s="48"/>
    </row>
    <row r="233" spans="1:23" ht="15.75" customHeight="1">
      <c r="A233" s="48"/>
      <c r="B233" s="58"/>
      <c r="C233" s="123"/>
      <c r="D233" s="123"/>
      <c r="E233" s="60"/>
      <c r="F233" s="58"/>
      <c r="G233" s="60"/>
      <c r="H233" s="183"/>
      <c r="I233" s="184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48"/>
      <c r="U233" s="48"/>
      <c r="V233" s="48"/>
      <c r="W233" s="48"/>
    </row>
    <row r="234" spans="1:23" ht="15.75" customHeight="1">
      <c r="A234" s="48"/>
      <c r="B234" s="58"/>
      <c r="C234" s="123"/>
      <c r="D234" s="123"/>
      <c r="E234" s="60"/>
      <c r="F234" s="58"/>
      <c r="G234" s="60"/>
      <c r="H234" s="183"/>
      <c r="I234" s="184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48"/>
      <c r="U234" s="48"/>
      <c r="V234" s="48"/>
      <c r="W234" s="48"/>
    </row>
    <row r="235" spans="1:23" ht="15.75" customHeight="1">
      <c r="A235" s="48"/>
      <c r="B235" s="58"/>
      <c r="C235" s="123"/>
      <c r="D235" s="123"/>
      <c r="E235" s="60"/>
      <c r="F235" s="58"/>
      <c r="G235" s="60"/>
      <c r="H235" s="183"/>
      <c r="I235" s="184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48"/>
      <c r="U235" s="48"/>
      <c r="V235" s="48"/>
      <c r="W235" s="48"/>
    </row>
    <row r="236" spans="1:23" ht="15.75" customHeight="1">
      <c r="A236" s="48"/>
      <c r="B236" s="58"/>
      <c r="C236" s="123"/>
      <c r="D236" s="123"/>
      <c r="E236" s="60"/>
      <c r="F236" s="58"/>
      <c r="G236" s="60"/>
      <c r="H236" s="183"/>
      <c r="I236" s="184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48"/>
      <c r="U236" s="48"/>
      <c r="V236" s="48"/>
      <c r="W236" s="48"/>
    </row>
    <row r="237" spans="1:23" ht="15.75" customHeight="1">
      <c r="A237" s="48"/>
      <c r="B237" s="58"/>
      <c r="C237" s="123"/>
      <c r="D237" s="123"/>
      <c r="E237" s="60"/>
      <c r="F237" s="60"/>
      <c r="G237" s="60"/>
      <c r="H237" s="183"/>
      <c r="I237" s="184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48"/>
      <c r="U237" s="48"/>
      <c r="V237" s="48"/>
      <c r="W237" s="48"/>
    </row>
    <row r="238" spans="1:23" ht="15.75" customHeight="1">
      <c r="A238" s="48"/>
      <c r="B238" s="58"/>
      <c r="C238" s="123"/>
      <c r="D238" s="123"/>
      <c r="E238" s="60"/>
      <c r="F238" s="60"/>
      <c r="G238" s="60"/>
      <c r="H238" s="183"/>
      <c r="I238" s="184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48"/>
      <c r="U238" s="48"/>
      <c r="V238" s="48"/>
      <c r="W238" s="48"/>
    </row>
    <row r="239" spans="1:23" ht="15.75" customHeight="1">
      <c r="A239" s="48"/>
      <c r="B239" s="58"/>
      <c r="C239" s="123"/>
      <c r="D239" s="123"/>
      <c r="E239" s="60"/>
      <c r="F239" s="60"/>
      <c r="G239" s="60"/>
      <c r="H239" s="183"/>
      <c r="I239" s="184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48"/>
      <c r="U239" s="48"/>
      <c r="V239" s="48"/>
      <c r="W239" s="48"/>
    </row>
    <row r="240" spans="1:23" ht="15.75" customHeight="1">
      <c r="A240" s="48"/>
      <c r="B240" s="58"/>
      <c r="C240" s="123"/>
      <c r="D240" s="123"/>
      <c r="E240" s="60"/>
      <c r="F240" s="60"/>
      <c r="G240" s="60"/>
      <c r="H240" s="183"/>
      <c r="I240" s="184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48"/>
      <c r="U240" s="48"/>
      <c r="V240" s="48"/>
      <c r="W240" s="48"/>
    </row>
    <row r="241" spans="1:23" ht="15.75" customHeight="1">
      <c r="A241" s="48"/>
      <c r="B241" s="58"/>
      <c r="C241" s="123"/>
      <c r="D241" s="123"/>
      <c r="E241" s="60"/>
      <c r="F241" s="60"/>
      <c r="G241" s="60"/>
      <c r="H241" s="183"/>
      <c r="I241" s="184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48"/>
      <c r="U241" s="48"/>
      <c r="V241" s="48"/>
      <c r="W241" s="48"/>
    </row>
    <row r="242" spans="1:23" ht="15.75" customHeight="1">
      <c r="A242" s="48"/>
      <c r="B242" s="58"/>
      <c r="C242" s="123"/>
      <c r="D242" s="123"/>
      <c r="E242" s="60"/>
      <c r="F242" s="60"/>
      <c r="G242" s="60"/>
      <c r="H242" s="183"/>
      <c r="I242" s="184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48"/>
      <c r="U242" s="48"/>
      <c r="V242" s="48"/>
      <c r="W242" s="48"/>
    </row>
    <row r="243" spans="1:23" ht="15.75" customHeight="1">
      <c r="A243" s="48"/>
      <c r="B243" s="58"/>
      <c r="C243" s="123"/>
      <c r="D243" s="123"/>
      <c r="E243" s="60"/>
      <c r="F243" s="60"/>
      <c r="G243" s="60"/>
      <c r="H243" s="183"/>
      <c r="I243" s="184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48"/>
      <c r="U243" s="48"/>
      <c r="V243" s="48"/>
      <c r="W243" s="48"/>
    </row>
    <row r="244" spans="1:23" ht="15.75" customHeight="1">
      <c r="A244" s="48"/>
      <c r="B244" s="58"/>
      <c r="C244" s="123"/>
      <c r="D244" s="123"/>
      <c r="E244" s="60"/>
      <c r="F244" s="60"/>
      <c r="G244" s="60"/>
      <c r="H244" s="183"/>
      <c r="I244" s="184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48"/>
      <c r="U244" s="48"/>
      <c r="V244" s="48"/>
      <c r="W244" s="48"/>
    </row>
    <row r="245" spans="1:23" ht="15.75" customHeight="1">
      <c r="A245" s="48"/>
      <c r="B245" s="58"/>
      <c r="C245" s="123"/>
      <c r="D245" s="123"/>
      <c r="E245" s="60"/>
      <c r="F245" s="60"/>
      <c r="G245" s="60"/>
      <c r="H245" s="183"/>
      <c r="I245" s="184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48"/>
      <c r="U245" s="48"/>
      <c r="V245" s="48"/>
      <c r="W245" s="48"/>
    </row>
    <row r="246" spans="1:23" ht="15.75" customHeight="1">
      <c r="A246" s="48"/>
      <c r="B246" s="58"/>
      <c r="C246" s="123"/>
      <c r="D246" s="123"/>
      <c r="E246" s="60"/>
      <c r="F246" s="60"/>
      <c r="G246" s="60"/>
      <c r="H246" s="183"/>
      <c r="I246" s="184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48"/>
      <c r="U246" s="48"/>
      <c r="V246" s="48"/>
      <c r="W246" s="48"/>
    </row>
    <row r="247" spans="1:23" ht="15.75" customHeight="1">
      <c r="A247" s="48"/>
      <c r="B247" s="58"/>
      <c r="C247" s="123"/>
      <c r="D247" s="123"/>
      <c r="E247" s="60"/>
      <c r="F247" s="60"/>
      <c r="G247" s="60"/>
      <c r="H247" s="183"/>
      <c r="I247" s="184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48"/>
      <c r="U247" s="48"/>
      <c r="V247" s="48"/>
      <c r="W247" s="48"/>
    </row>
    <row r="248" spans="1:23" ht="15.75" customHeight="1">
      <c r="A248" s="48"/>
      <c r="B248" s="58"/>
      <c r="C248" s="123"/>
      <c r="D248" s="123"/>
      <c r="E248" s="60"/>
      <c r="F248" s="60"/>
      <c r="G248" s="60"/>
      <c r="H248" s="183"/>
      <c r="I248" s="184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48"/>
      <c r="U248" s="48"/>
      <c r="V248" s="48"/>
      <c r="W248" s="48"/>
    </row>
    <row r="249" spans="1:23" ht="15.75" customHeight="1">
      <c r="A249" s="48"/>
      <c r="B249" s="58"/>
      <c r="C249" s="123"/>
      <c r="D249" s="123"/>
      <c r="E249" s="60"/>
      <c r="F249" s="60"/>
      <c r="G249" s="60"/>
      <c r="H249" s="183"/>
      <c r="I249" s="184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48"/>
      <c r="U249" s="48"/>
      <c r="V249" s="48"/>
      <c r="W249" s="48"/>
    </row>
    <row r="250" spans="1:23" ht="15.75" customHeight="1">
      <c r="A250" s="48"/>
      <c r="B250" s="58"/>
      <c r="C250" s="123"/>
      <c r="D250" s="123"/>
      <c r="E250" s="60"/>
      <c r="F250" s="60"/>
      <c r="G250" s="60"/>
      <c r="H250" s="183"/>
      <c r="I250" s="184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48"/>
      <c r="U250" s="48"/>
      <c r="V250" s="48"/>
      <c r="W250" s="48"/>
    </row>
    <row r="251" spans="1:23" ht="15.75" customHeight="1">
      <c r="A251" s="48"/>
      <c r="B251" s="58"/>
      <c r="C251" s="123"/>
      <c r="D251" s="123"/>
      <c r="E251" s="60"/>
      <c r="F251" s="60"/>
      <c r="G251" s="60"/>
      <c r="H251" s="183"/>
      <c r="I251" s="184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48"/>
      <c r="U251" s="48"/>
      <c r="V251" s="48"/>
      <c r="W251" s="48"/>
    </row>
  </sheetData>
  <autoFilter ref="A10:W225" xr:uid="{00000000-0009-0000-0000-000002000000}"/>
  <mergeCells count="67">
    <mergeCell ref="C159:D159"/>
    <mergeCell ref="C202:D202"/>
    <mergeCell ref="C207:D207"/>
    <mergeCell ref="C122:D122"/>
    <mergeCell ref="C129:D129"/>
    <mergeCell ref="C137:D137"/>
    <mergeCell ref="C144:D144"/>
    <mergeCell ref="C151:D151"/>
    <mergeCell ref="C85:D85"/>
    <mergeCell ref="C93:D93"/>
    <mergeCell ref="C100:D100"/>
    <mergeCell ref="C107:D107"/>
    <mergeCell ref="C115:D115"/>
    <mergeCell ref="C49:D49"/>
    <mergeCell ref="C56:D56"/>
    <mergeCell ref="C63:D63"/>
    <mergeCell ref="C70:D70"/>
    <mergeCell ref="C78:D78"/>
    <mergeCell ref="C12:D12"/>
    <mergeCell ref="C19:D19"/>
    <mergeCell ref="C26:D26"/>
    <mergeCell ref="C33:D33"/>
    <mergeCell ref="C41:D41"/>
    <mergeCell ref="T8:U8"/>
    <mergeCell ref="V8:W8"/>
    <mergeCell ref="B5:C5"/>
    <mergeCell ref="B6:C6"/>
    <mergeCell ref="E6:F6"/>
    <mergeCell ref="B8:B9"/>
    <mergeCell ref="C8:C9"/>
    <mergeCell ref="D8:D9"/>
    <mergeCell ref="E8:E9"/>
    <mergeCell ref="E5:F5"/>
    <mergeCell ref="O5:S5"/>
    <mergeCell ref="F8:F9"/>
    <mergeCell ref="G8:G9"/>
    <mergeCell ref="H8:J8"/>
    <mergeCell ref="K8:M8"/>
    <mergeCell ref="N8:P8"/>
    <mergeCell ref="Q8:S8"/>
    <mergeCell ref="B2:F2"/>
    <mergeCell ref="H2:M2"/>
    <mergeCell ref="N2:S2"/>
    <mergeCell ref="B4:C4"/>
    <mergeCell ref="O4:S4"/>
    <mergeCell ref="C217:D217"/>
    <mergeCell ref="C218:D218"/>
    <mergeCell ref="C220:D220"/>
    <mergeCell ref="C224:D224"/>
    <mergeCell ref="C225:D225"/>
    <mergeCell ref="C192:D192"/>
    <mergeCell ref="C193:D193"/>
    <mergeCell ref="C211:D211"/>
    <mergeCell ref="C215:D215"/>
    <mergeCell ref="C216:D216"/>
    <mergeCell ref="C194:D194"/>
    <mergeCell ref="C195:D195"/>
    <mergeCell ref="C196:D196"/>
    <mergeCell ref="C197:D197"/>
    <mergeCell ref="C198:D198"/>
    <mergeCell ref="C199:D199"/>
    <mergeCell ref="C200:D200"/>
    <mergeCell ref="C162:D162"/>
    <mergeCell ref="C169:D169"/>
    <mergeCell ref="C176:D176"/>
    <mergeCell ref="C183:D183"/>
    <mergeCell ref="C191:D191"/>
  </mergeCells>
  <conditionalFormatting sqref="H19 H12 H26 H33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rintOptions horizontalCentered="1" gridLines="1"/>
  <pageMargins left="0.25" right="0.25" top="0.75" bottom="0.75" header="0" footer="0"/>
  <pageSetup fitToWidth="0" pageOrder="overThenDown" orientation="landscape" cellComments="atEnd"/>
  <headerFooter>
    <oddHeader>&amp;R&amp;"Aptos"&amp;10&amp;K000000 Company 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FF"/>
    <outlinePr summaryBelow="0" summaryRight="0"/>
    <pageSetUpPr fitToPage="1"/>
  </sheetPr>
  <dimension ref="A1:W258"/>
  <sheetViews>
    <sheetView showGridLines="0" tabSelected="1" zoomScale="45" zoomScaleNormal="45" workbookViewId="0">
      <pane ySplit="9" topLeftCell="A213" activePane="bottomLeft" state="frozen"/>
      <selection pane="bottomLeft" activeCell="E4" sqref="E4"/>
    </sheetView>
  </sheetViews>
  <sheetFormatPr defaultColWidth="12.6328125" defaultRowHeight="15.75" customHeight="1" outlineLevelRow="3"/>
  <cols>
    <col min="1" max="1" width="2.7265625" customWidth="1"/>
    <col min="2" max="2" width="12.90625" customWidth="1"/>
    <col min="3" max="3" width="27.7265625" customWidth="1"/>
    <col min="4" max="4" width="26.26953125" customWidth="1"/>
    <col min="5" max="6" width="10.453125" customWidth="1"/>
    <col min="7" max="7" width="19" customWidth="1"/>
    <col min="8" max="19" width="10.26953125" customWidth="1"/>
    <col min="20" max="23" width="17.36328125" customWidth="1"/>
  </cols>
  <sheetData>
    <row r="1" spans="1:23" ht="9" customHeight="1" thickBot="1">
      <c r="A1" s="1"/>
      <c r="B1" s="2"/>
      <c r="C1" s="3"/>
      <c r="D1" s="3"/>
      <c r="E1" s="3"/>
      <c r="F1" s="4"/>
      <c r="G1" s="3"/>
      <c r="H1" s="5"/>
      <c r="I1" s="6"/>
      <c r="J1" s="7"/>
      <c r="K1" s="8"/>
      <c r="L1" s="7"/>
      <c r="M1" s="7"/>
      <c r="N1" s="268"/>
      <c r="O1" s="1"/>
      <c r="P1" s="1"/>
      <c r="Q1" s="1"/>
      <c r="R1" s="1"/>
      <c r="S1" s="1"/>
      <c r="T1" s="1"/>
      <c r="U1" s="1"/>
      <c r="V1" s="1"/>
      <c r="W1" s="1"/>
    </row>
    <row r="2" spans="1:23" ht="38.25" customHeight="1" thickBot="1">
      <c r="A2" s="1"/>
      <c r="B2" s="334" t="s">
        <v>166</v>
      </c>
      <c r="C2" s="335"/>
      <c r="D2" s="335"/>
      <c r="E2" s="335"/>
      <c r="F2" s="335"/>
      <c r="H2" s="376" t="s">
        <v>183</v>
      </c>
      <c r="I2" s="377"/>
      <c r="J2" s="377"/>
      <c r="K2" s="378">
        <v>850000</v>
      </c>
      <c r="L2" s="379"/>
      <c r="M2" s="1"/>
      <c r="N2" s="387" t="s">
        <v>186</v>
      </c>
      <c r="O2" s="388"/>
      <c r="P2" s="388"/>
      <c r="Q2" s="378">
        <v>1000000</v>
      </c>
      <c r="R2" s="379"/>
      <c r="S2" s="1"/>
      <c r="T2" s="1"/>
    </row>
    <row r="3" spans="1:23" ht="21" customHeight="1" thickTop="1" thickBot="1">
      <c r="A3" s="1"/>
      <c r="B3" s="9"/>
      <c r="C3" s="9"/>
      <c r="D3" s="10"/>
      <c r="E3" s="10"/>
      <c r="F3" s="10"/>
      <c r="G3" s="10"/>
      <c r="H3" s="380" t="s">
        <v>184</v>
      </c>
      <c r="I3" s="375"/>
      <c r="J3" s="375"/>
      <c r="K3" s="374">
        <f>T10+V10+T208+V208+T226+V226</f>
        <v>710927.35073231661</v>
      </c>
      <c r="L3" s="381"/>
      <c r="M3" s="1"/>
      <c r="N3" s="380" t="s">
        <v>187</v>
      </c>
      <c r="O3" s="375"/>
      <c r="P3" s="375"/>
      <c r="Q3" s="374">
        <f>U10+W10+U208+W208+U226+W226</f>
        <v>458282.2945806128</v>
      </c>
      <c r="R3" s="381"/>
      <c r="S3" s="1"/>
      <c r="T3" s="1"/>
    </row>
    <row r="4" spans="1:23" ht="21" customHeight="1" thickBot="1">
      <c r="A4" s="1"/>
      <c r="B4" s="339" t="s">
        <v>1</v>
      </c>
      <c r="C4" s="340"/>
      <c r="D4" s="13"/>
      <c r="E4" s="14"/>
      <c r="F4" s="13"/>
      <c r="G4" s="14"/>
      <c r="H4" s="384" t="s">
        <v>185</v>
      </c>
      <c r="I4" s="385"/>
      <c r="J4" s="386"/>
      <c r="K4" s="382">
        <v>100000</v>
      </c>
      <c r="L4" s="383"/>
      <c r="M4" s="1"/>
      <c r="N4" s="384" t="s">
        <v>188</v>
      </c>
      <c r="O4" s="385"/>
      <c r="P4" s="386"/>
      <c r="Q4" s="382">
        <v>150000</v>
      </c>
      <c r="R4" s="383"/>
      <c r="S4" s="1"/>
      <c r="T4" s="1"/>
    </row>
    <row r="5" spans="1:23" ht="21" customHeight="1" thickBot="1">
      <c r="A5" s="1"/>
      <c r="B5" s="356"/>
      <c r="C5" s="337"/>
      <c r="E5" s="342"/>
      <c r="F5" s="337"/>
      <c r="G5" s="17"/>
      <c r="H5" s="18"/>
      <c r="I5" s="18"/>
      <c r="J5" s="18"/>
      <c r="K5" s="16"/>
      <c r="L5" s="16"/>
      <c r="M5" s="16"/>
      <c r="N5" s="269"/>
      <c r="O5" s="343"/>
      <c r="P5" s="337"/>
      <c r="Q5" s="337"/>
      <c r="R5" s="337"/>
      <c r="S5" s="337"/>
      <c r="T5" s="1"/>
      <c r="U5" s="1"/>
      <c r="V5" s="1"/>
      <c r="W5" s="1"/>
    </row>
    <row r="6" spans="1:23" ht="21" customHeight="1">
      <c r="A6" s="19"/>
      <c r="B6" s="329" t="s">
        <v>3</v>
      </c>
      <c r="C6" s="330"/>
      <c r="E6" s="342"/>
      <c r="F6" s="337"/>
      <c r="G6" s="17"/>
      <c r="H6" s="18"/>
      <c r="I6" s="18"/>
      <c r="J6" s="18"/>
      <c r="M6" s="20"/>
      <c r="O6" s="270" t="s">
        <v>4</v>
      </c>
      <c r="P6" s="21"/>
      <c r="Q6" s="21"/>
      <c r="R6" s="21"/>
      <c r="S6" s="21"/>
      <c r="T6" s="19"/>
      <c r="U6" s="19"/>
      <c r="V6" s="19"/>
      <c r="W6" s="19"/>
    </row>
    <row r="7" spans="1:23" ht="21" customHeight="1">
      <c r="A7" s="19"/>
      <c r="B7" s="22"/>
      <c r="C7" s="22"/>
      <c r="D7" s="22"/>
      <c r="E7" s="22"/>
      <c r="F7" s="22"/>
      <c r="G7" s="22"/>
      <c r="H7" s="22"/>
      <c r="I7" s="22"/>
      <c r="J7" s="22"/>
      <c r="K7" s="22"/>
      <c r="L7" s="271"/>
      <c r="M7" s="272"/>
      <c r="N7" s="23"/>
      <c r="O7" s="19"/>
      <c r="P7" s="19"/>
      <c r="Q7" s="19"/>
      <c r="R7" s="19"/>
      <c r="S7" s="19"/>
      <c r="T7" s="19"/>
      <c r="U7" s="19"/>
      <c r="V7" s="19"/>
      <c r="W7" s="19"/>
    </row>
    <row r="8" spans="1:23" ht="17.25" customHeight="1">
      <c r="A8" s="23"/>
      <c r="B8" s="357"/>
      <c r="C8" s="344" t="s">
        <v>5</v>
      </c>
      <c r="D8" s="344"/>
      <c r="E8" s="344" t="s">
        <v>6</v>
      </c>
      <c r="F8" s="344" t="s">
        <v>7</v>
      </c>
      <c r="G8" s="344" t="s">
        <v>8</v>
      </c>
      <c r="H8" s="346" t="s">
        <v>9</v>
      </c>
      <c r="I8" s="347"/>
      <c r="J8" s="348"/>
      <c r="K8" s="349" t="s">
        <v>10</v>
      </c>
      <c r="L8" s="350"/>
      <c r="M8" s="351"/>
      <c r="N8" s="352" t="s">
        <v>11</v>
      </c>
      <c r="O8" s="347"/>
      <c r="P8" s="348"/>
      <c r="Q8" s="353" t="s">
        <v>12</v>
      </c>
      <c r="R8" s="347"/>
      <c r="S8" s="348"/>
      <c r="T8" s="354" t="s">
        <v>13</v>
      </c>
      <c r="U8" s="348"/>
      <c r="V8" s="355" t="s">
        <v>14</v>
      </c>
      <c r="W8" s="348"/>
    </row>
    <row r="9" spans="1:23" ht="17.25" customHeight="1">
      <c r="A9" s="24"/>
      <c r="B9" s="337"/>
      <c r="C9" s="345"/>
      <c r="D9" s="345"/>
      <c r="E9" s="345"/>
      <c r="F9" s="345"/>
      <c r="G9" s="345"/>
      <c r="H9" s="25" t="s">
        <v>15</v>
      </c>
      <c r="I9" s="25" t="s">
        <v>16</v>
      </c>
      <c r="J9" s="26" t="s">
        <v>17</v>
      </c>
      <c r="K9" s="198" t="s">
        <v>18</v>
      </c>
      <c r="L9" s="25" t="s">
        <v>19</v>
      </c>
      <c r="M9" s="28" t="s">
        <v>20</v>
      </c>
      <c r="N9" s="273" t="s">
        <v>21</v>
      </c>
      <c r="O9" s="25" t="s">
        <v>22</v>
      </c>
      <c r="P9" s="25" t="s">
        <v>23</v>
      </c>
      <c r="Q9" s="25" t="s">
        <v>24</v>
      </c>
      <c r="R9" s="25" t="s">
        <v>25</v>
      </c>
      <c r="S9" s="25" t="s">
        <v>26</v>
      </c>
      <c r="T9" s="29" t="s">
        <v>27</v>
      </c>
      <c r="U9" s="30" t="s">
        <v>28</v>
      </c>
      <c r="V9" s="29" t="s">
        <v>27</v>
      </c>
      <c r="W9" s="30" t="s">
        <v>28</v>
      </c>
    </row>
    <row r="10" spans="1:23" ht="21" customHeight="1">
      <c r="A10" s="19"/>
      <c r="B10" s="31"/>
      <c r="C10" s="32" t="s">
        <v>29</v>
      </c>
      <c r="D10" s="33"/>
      <c r="E10" s="33"/>
      <c r="F10" s="33"/>
      <c r="G10" s="33"/>
      <c r="H10" s="34"/>
      <c r="I10" s="35"/>
      <c r="J10" s="36"/>
      <c r="K10" s="199"/>
      <c r="L10" s="200"/>
      <c r="M10" s="34"/>
      <c r="N10" s="34"/>
      <c r="O10" s="34"/>
      <c r="P10" s="34"/>
      <c r="Q10" s="34"/>
      <c r="R10" s="34"/>
      <c r="S10" s="34"/>
      <c r="T10" s="38">
        <f t="shared" ref="T10:W10" si="0">T11+T40+T48+T77+T92+T114+T136+T158+T197</f>
        <v>512320.38073231664</v>
      </c>
      <c r="U10" s="38">
        <f t="shared" si="0"/>
        <v>35158.174580612831</v>
      </c>
      <c r="V10" s="38">
        <f t="shared" si="0"/>
        <v>198606.97</v>
      </c>
      <c r="W10" s="38">
        <f t="shared" si="0"/>
        <v>0</v>
      </c>
    </row>
    <row r="11" spans="1:23" ht="21" customHeight="1">
      <c r="A11" s="19"/>
      <c r="B11" s="39">
        <v>0</v>
      </c>
      <c r="C11" s="70" t="s">
        <v>141</v>
      </c>
      <c r="D11" s="42"/>
      <c r="E11" s="41"/>
      <c r="F11" s="41"/>
      <c r="G11" s="42"/>
      <c r="H11" s="43"/>
      <c r="I11" s="44"/>
      <c r="J11" s="45"/>
      <c r="K11" s="201"/>
      <c r="L11" s="202"/>
      <c r="M11" s="43"/>
      <c r="N11" s="43"/>
      <c r="O11" s="43"/>
      <c r="P11" s="43"/>
      <c r="Q11" s="43"/>
      <c r="R11" s="43"/>
      <c r="S11" s="43"/>
      <c r="T11" s="47">
        <f t="shared" ref="T11:W11" si="1">T12+T19+T26+T33</f>
        <v>0</v>
      </c>
      <c r="U11" s="47">
        <f t="shared" si="1"/>
        <v>0</v>
      </c>
      <c r="V11" s="47">
        <f t="shared" si="1"/>
        <v>82287.97</v>
      </c>
      <c r="W11" s="47">
        <f t="shared" si="1"/>
        <v>0</v>
      </c>
    </row>
    <row r="12" spans="1:23" ht="17.25" customHeight="1" outlineLevel="1">
      <c r="A12" s="76"/>
      <c r="B12" s="77">
        <v>0.1</v>
      </c>
      <c r="C12" s="358" t="s">
        <v>43</v>
      </c>
      <c r="D12" s="340"/>
      <c r="E12" s="78">
        <v>45986</v>
      </c>
      <c r="F12" s="78">
        <v>46022</v>
      </c>
      <c r="G12" s="80"/>
      <c r="H12" s="94"/>
      <c r="I12" s="95"/>
      <c r="J12" s="96"/>
      <c r="K12" s="96"/>
      <c r="L12" s="203"/>
      <c r="M12" s="204"/>
      <c r="N12" s="205"/>
      <c r="O12" s="99"/>
      <c r="P12" s="99"/>
      <c r="Q12" s="99"/>
      <c r="R12" s="99"/>
      <c r="S12" s="99"/>
      <c r="T12" s="91">
        <f t="shared" ref="T12:W12" si="2">SUM(T13:T18)</f>
        <v>0</v>
      </c>
      <c r="U12" s="91">
        <f t="shared" si="2"/>
        <v>0</v>
      </c>
      <c r="V12" s="91">
        <f t="shared" si="2"/>
        <v>41494.97</v>
      </c>
      <c r="W12" s="91">
        <f t="shared" si="2"/>
        <v>0</v>
      </c>
    </row>
    <row r="13" spans="1:23" ht="17.25" customHeight="1" outlineLevel="2">
      <c r="A13" s="48"/>
      <c r="B13" s="58"/>
      <c r="C13" s="59"/>
      <c r="D13" s="59"/>
      <c r="E13" s="60"/>
      <c r="F13" s="60"/>
      <c r="G13" s="61" t="s">
        <v>32</v>
      </c>
      <c r="H13" s="62"/>
      <c r="I13" s="63"/>
      <c r="J13" s="64"/>
      <c r="K13" s="206"/>
      <c r="L13" s="207"/>
      <c r="M13" s="208"/>
      <c r="N13" s="67"/>
      <c r="O13" s="67"/>
      <c r="P13" s="67"/>
      <c r="Q13" s="67"/>
      <c r="R13" s="274">
        <f>8854.97+2500</f>
        <v>11354.97</v>
      </c>
      <c r="S13" s="274">
        <f>22640+2500</f>
        <v>25140</v>
      </c>
      <c r="T13" s="67"/>
      <c r="U13" s="67"/>
      <c r="V13" s="67">
        <f>SUM(Q13:S13)</f>
        <v>36494.97</v>
      </c>
      <c r="W13" s="67"/>
    </row>
    <row r="14" spans="1:23" ht="17.25" customHeight="1" outlineLevel="2">
      <c r="A14" s="48"/>
      <c r="B14" s="58"/>
      <c r="C14" s="59"/>
      <c r="D14" s="59"/>
      <c r="E14" s="60"/>
      <c r="F14" s="60"/>
      <c r="G14" s="61" t="s">
        <v>33</v>
      </c>
      <c r="H14" s="62"/>
      <c r="I14" s="63"/>
      <c r="J14" s="64"/>
      <c r="K14" s="206"/>
      <c r="L14" s="209"/>
      <c r="M14" s="69"/>
      <c r="N14" s="67"/>
      <c r="O14" s="67"/>
      <c r="P14" s="67"/>
      <c r="Q14" s="67"/>
      <c r="R14" s="67"/>
      <c r="S14" s="67"/>
      <c r="T14" s="67"/>
      <c r="U14" s="67"/>
      <c r="V14" s="67">
        <f>SUM(P14:S14)</f>
        <v>0</v>
      </c>
      <c r="W14" s="67"/>
    </row>
    <row r="15" spans="1:23" ht="17.25" customHeight="1" outlineLevel="2">
      <c r="A15" s="48"/>
      <c r="B15" s="58"/>
      <c r="C15" s="59"/>
      <c r="D15" s="59"/>
      <c r="E15" s="60"/>
      <c r="F15" s="60"/>
      <c r="G15" s="61" t="s">
        <v>34</v>
      </c>
      <c r="H15" s="62"/>
      <c r="I15" s="63"/>
      <c r="J15" s="64"/>
      <c r="K15" s="206"/>
      <c r="L15" s="210"/>
      <c r="M15" s="92"/>
      <c r="N15" s="67"/>
      <c r="O15" s="67"/>
      <c r="P15" s="67"/>
      <c r="Q15" s="67"/>
      <c r="R15" s="68"/>
      <c r="S15" s="67"/>
      <c r="T15" s="67"/>
      <c r="U15" s="67"/>
      <c r="V15" s="67">
        <f>SUM(O15:S15)</f>
        <v>0</v>
      </c>
      <c r="W15" s="67"/>
    </row>
    <row r="16" spans="1:23" ht="17.25" customHeight="1" outlineLevel="2">
      <c r="A16" s="48"/>
      <c r="B16" s="58"/>
      <c r="C16" s="59"/>
      <c r="D16" s="59"/>
      <c r="E16" s="60"/>
      <c r="F16" s="60"/>
      <c r="G16" s="61" t="s">
        <v>35</v>
      </c>
      <c r="H16" s="62"/>
      <c r="I16" s="63"/>
      <c r="J16" s="64"/>
      <c r="K16" s="206"/>
      <c r="L16" s="211"/>
      <c r="M16" s="104"/>
      <c r="N16" s="67"/>
      <c r="O16" s="67"/>
      <c r="P16" s="67"/>
      <c r="Q16" s="67"/>
      <c r="R16" s="68"/>
      <c r="S16" s="67">
        <v>5000</v>
      </c>
      <c r="T16" s="67"/>
      <c r="U16" s="67"/>
      <c r="V16" s="67">
        <f>SUM(Q16:S16)</f>
        <v>5000</v>
      </c>
      <c r="W16" s="67"/>
    </row>
    <row r="17" spans="1:23" ht="17.25" customHeight="1" outlineLevel="2">
      <c r="A17" s="48"/>
      <c r="B17" s="58"/>
      <c r="C17" s="59"/>
      <c r="D17" s="59"/>
      <c r="E17" s="60"/>
      <c r="F17" s="60"/>
      <c r="G17" s="61" t="s">
        <v>36</v>
      </c>
      <c r="H17" s="62"/>
      <c r="I17" s="63"/>
      <c r="J17" s="64"/>
      <c r="K17" s="206"/>
      <c r="L17" s="209"/>
      <c r="M17" s="69"/>
      <c r="N17" s="67"/>
      <c r="O17" s="67"/>
      <c r="P17" s="67"/>
      <c r="Q17" s="67"/>
      <c r="R17" s="68"/>
      <c r="S17" s="67"/>
      <c r="T17" s="67"/>
      <c r="U17" s="67"/>
      <c r="V17" s="67">
        <f t="shared" ref="V17:V18" si="3">SUM(O17:S17)</f>
        <v>0</v>
      </c>
      <c r="W17" s="67"/>
    </row>
    <row r="18" spans="1:23" ht="17.25" customHeight="1" outlineLevel="2">
      <c r="A18" s="48"/>
      <c r="B18" s="58"/>
      <c r="C18" s="59"/>
      <c r="D18" s="59"/>
      <c r="E18" s="60"/>
      <c r="F18" s="60"/>
      <c r="G18" s="61" t="s">
        <v>37</v>
      </c>
      <c r="H18" s="62"/>
      <c r="I18" s="63"/>
      <c r="J18" s="64"/>
      <c r="K18" s="212"/>
      <c r="L18" s="209"/>
      <c r="M18" s="69"/>
      <c r="N18" s="67"/>
      <c r="O18" s="67"/>
      <c r="P18" s="67"/>
      <c r="Q18" s="67"/>
      <c r="R18" s="68"/>
      <c r="S18" s="68"/>
      <c r="T18" s="67"/>
      <c r="U18" s="67"/>
      <c r="V18" s="67">
        <f t="shared" si="3"/>
        <v>0</v>
      </c>
      <c r="W18" s="67"/>
    </row>
    <row r="19" spans="1:23" ht="17.25" customHeight="1" outlineLevel="1">
      <c r="A19" s="76"/>
      <c r="B19" s="77">
        <v>0.2</v>
      </c>
      <c r="C19" s="358" t="s">
        <v>142</v>
      </c>
      <c r="D19" s="340"/>
      <c r="E19" s="78">
        <v>45986</v>
      </c>
      <c r="F19" s="78">
        <v>46022</v>
      </c>
      <c r="G19" s="80"/>
      <c r="H19" s="94"/>
      <c r="I19" s="95"/>
      <c r="J19" s="96"/>
      <c r="K19" s="96"/>
      <c r="L19" s="203"/>
      <c r="M19" s="204"/>
      <c r="N19" s="205"/>
      <c r="O19" s="99"/>
      <c r="P19" s="99"/>
      <c r="Q19" s="99"/>
      <c r="R19" s="99"/>
      <c r="S19" s="99"/>
      <c r="T19" s="91">
        <f t="shared" ref="T19:W19" si="4">SUM(T20:T25)</f>
        <v>0</v>
      </c>
      <c r="U19" s="91">
        <f t="shared" si="4"/>
        <v>0</v>
      </c>
      <c r="V19" s="91">
        <f t="shared" si="4"/>
        <v>28293</v>
      </c>
      <c r="W19" s="91">
        <f t="shared" si="4"/>
        <v>0</v>
      </c>
    </row>
    <row r="20" spans="1:23" ht="17.25" customHeight="1" outlineLevel="2">
      <c r="A20" s="48"/>
      <c r="B20" s="58"/>
      <c r="C20" s="59"/>
      <c r="D20" s="59"/>
      <c r="E20" s="60"/>
      <c r="F20" s="60"/>
      <c r="G20" s="61" t="s">
        <v>32</v>
      </c>
      <c r="H20" s="62"/>
      <c r="I20" s="63"/>
      <c r="J20" s="64"/>
      <c r="K20" s="206"/>
      <c r="L20" s="207"/>
      <c r="M20" s="208"/>
      <c r="N20" s="67"/>
      <c r="O20" s="67"/>
      <c r="P20" s="67"/>
      <c r="Q20" s="67"/>
      <c r="R20" s="67"/>
      <c r="S20" s="108">
        <f>13293+5000</f>
        <v>18293</v>
      </c>
      <c r="T20" s="67"/>
      <c r="U20" s="67"/>
      <c r="V20" s="67">
        <f t="shared" ref="V20:V25" si="5">SUM(O20:S20)</f>
        <v>18293</v>
      </c>
      <c r="W20" s="67"/>
    </row>
    <row r="21" spans="1:23" ht="17.25" customHeight="1" outlineLevel="2">
      <c r="A21" s="48"/>
      <c r="B21" s="58"/>
      <c r="C21" s="59"/>
      <c r="D21" s="59"/>
      <c r="E21" s="60"/>
      <c r="F21" s="60"/>
      <c r="G21" s="61" t="s">
        <v>33</v>
      </c>
      <c r="H21" s="62"/>
      <c r="I21" s="63"/>
      <c r="J21" s="64"/>
      <c r="K21" s="206"/>
      <c r="L21" s="209"/>
      <c r="M21" s="69"/>
      <c r="N21" s="67"/>
      <c r="O21" s="67"/>
      <c r="P21" s="67"/>
      <c r="Q21" s="67"/>
      <c r="R21" s="67"/>
      <c r="S21" s="67"/>
      <c r="T21" s="67"/>
      <c r="U21" s="67"/>
      <c r="V21" s="67">
        <f t="shared" si="5"/>
        <v>0</v>
      </c>
      <c r="W21" s="67"/>
    </row>
    <row r="22" spans="1:23" ht="17.25" customHeight="1" outlineLevel="2">
      <c r="A22" s="48"/>
      <c r="B22" s="58"/>
      <c r="C22" s="59"/>
      <c r="D22" s="59"/>
      <c r="E22" s="60"/>
      <c r="F22" s="60"/>
      <c r="G22" s="61" t="s">
        <v>34</v>
      </c>
      <c r="H22" s="62"/>
      <c r="I22" s="63"/>
      <c r="J22" s="64"/>
      <c r="K22" s="206"/>
      <c r="L22" s="210"/>
      <c r="M22" s="92"/>
      <c r="N22" s="67"/>
      <c r="O22" s="67"/>
      <c r="P22" s="67"/>
      <c r="Q22" s="67"/>
      <c r="R22" s="68"/>
      <c r="S22" s="67">
        <v>5000</v>
      </c>
      <c r="T22" s="67"/>
      <c r="U22" s="67"/>
      <c r="V22" s="67">
        <f t="shared" si="5"/>
        <v>5000</v>
      </c>
      <c r="W22" s="67"/>
    </row>
    <row r="23" spans="1:23" ht="17.25" customHeight="1" outlineLevel="2">
      <c r="A23" s="48"/>
      <c r="B23" s="58"/>
      <c r="C23" s="59"/>
      <c r="D23" s="59"/>
      <c r="E23" s="60"/>
      <c r="F23" s="60"/>
      <c r="G23" s="61" t="s">
        <v>35</v>
      </c>
      <c r="H23" s="62"/>
      <c r="I23" s="63"/>
      <c r="J23" s="64"/>
      <c r="K23" s="206"/>
      <c r="L23" s="211"/>
      <c r="M23" s="104"/>
      <c r="N23" s="67"/>
      <c r="O23" s="67"/>
      <c r="P23" s="67"/>
      <c r="Q23" s="67"/>
      <c r="R23" s="68"/>
      <c r="S23" s="67">
        <v>5000</v>
      </c>
      <c r="T23" s="67"/>
      <c r="U23" s="67"/>
      <c r="V23" s="67">
        <f t="shared" si="5"/>
        <v>5000</v>
      </c>
      <c r="W23" s="67"/>
    </row>
    <row r="24" spans="1:23" ht="17.25" customHeight="1" outlineLevel="2">
      <c r="A24" s="48"/>
      <c r="B24" s="58"/>
      <c r="C24" s="59"/>
      <c r="D24" s="59"/>
      <c r="E24" s="60"/>
      <c r="F24" s="60"/>
      <c r="G24" s="61" t="s">
        <v>36</v>
      </c>
      <c r="H24" s="62"/>
      <c r="I24" s="63"/>
      <c r="J24" s="64"/>
      <c r="K24" s="206"/>
      <c r="L24" s="209"/>
      <c r="M24" s="69"/>
      <c r="N24" s="67"/>
      <c r="O24" s="67"/>
      <c r="P24" s="67"/>
      <c r="Q24" s="67"/>
      <c r="R24" s="68"/>
      <c r="S24" s="67"/>
      <c r="T24" s="67"/>
      <c r="U24" s="67"/>
      <c r="V24" s="67">
        <f t="shared" si="5"/>
        <v>0</v>
      </c>
      <c r="W24" s="67"/>
    </row>
    <row r="25" spans="1:23" ht="17.25" customHeight="1" outlineLevel="2">
      <c r="A25" s="48"/>
      <c r="B25" s="58"/>
      <c r="C25" s="59"/>
      <c r="D25" s="59"/>
      <c r="E25" s="60"/>
      <c r="F25" s="60"/>
      <c r="G25" s="61" t="s">
        <v>37</v>
      </c>
      <c r="H25" s="62"/>
      <c r="I25" s="63"/>
      <c r="J25" s="64"/>
      <c r="K25" s="212"/>
      <c r="L25" s="209"/>
      <c r="M25" s="69"/>
      <c r="N25" s="67"/>
      <c r="O25" s="67"/>
      <c r="P25" s="67"/>
      <c r="Q25" s="67"/>
      <c r="R25" s="68"/>
      <c r="S25" s="68"/>
      <c r="T25" s="67"/>
      <c r="U25" s="67"/>
      <c r="V25" s="67">
        <f t="shared" si="5"/>
        <v>0</v>
      </c>
      <c r="W25" s="67"/>
    </row>
    <row r="26" spans="1:23" ht="17.25" customHeight="1" outlineLevel="1">
      <c r="A26" s="76"/>
      <c r="B26" s="77">
        <v>0.3</v>
      </c>
      <c r="C26" s="358" t="s">
        <v>143</v>
      </c>
      <c r="D26" s="340"/>
      <c r="E26" s="78">
        <v>45992</v>
      </c>
      <c r="F26" s="78">
        <v>46022</v>
      </c>
      <c r="G26" s="80"/>
      <c r="H26" s="94"/>
      <c r="I26" s="95"/>
      <c r="J26" s="96"/>
      <c r="K26" s="96"/>
      <c r="L26" s="203"/>
      <c r="M26" s="204"/>
      <c r="N26" s="205"/>
      <c r="O26" s="99"/>
      <c r="P26" s="99"/>
      <c r="Q26" s="99"/>
      <c r="R26" s="99"/>
      <c r="S26" s="99"/>
      <c r="T26" s="91">
        <f t="shared" ref="T26:W26" si="6">SUM(T27:T32)</f>
        <v>0</v>
      </c>
      <c r="U26" s="91">
        <f t="shared" si="6"/>
        <v>0</v>
      </c>
      <c r="V26" s="91">
        <f t="shared" si="6"/>
        <v>12500</v>
      </c>
      <c r="W26" s="91">
        <f t="shared" si="6"/>
        <v>0</v>
      </c>
    </row>
    <row r="27" spans="1:23" ht="17.25" customHeight="1" outlineLevel="2">
      <c r="A27" s="48"/>
      <c r="B27" s="58"/>
      <c r="C27" s="59"/>
      <c r="D27" s="59"/>
      <c r="E27" s="60"/>
      <c r="F27" s="60"/>
      <c r="G27" s="61" t="s">
        <v>32</v>
      </c>
      <c r="H27" s="67"/>
      <c r="I27" s="67"/>
      <c r="J27" s="67"/>
      <c r="K27" s="67"/>
      <c r="L27" s="207"/>
      <c r="M27" s="208"/>
      <c r="N27" s="67"/>
      <c r="O27" s="67"/>
      <c r="P27" s="67"/>
      <c r="Q27" s="67"/>
      <c r="R27" s="67"/>
      <c r="S27" s="67"/>
      <c r="T27" s="67"/>
      <c r="U27" s="67"/>
      <c r="V27" s="67">
        <f t="shared" ref="V27:V32" si="7">SUM(O27:S27)</f>
        <v>0</v>
      </c>
      <c r="W27" s="67"/>
    </row>
    <row r="28" spans="1:23" ht="17.25" customHeight="1" outlineLevel="2">
      <c r="A28" s="48"/>
      <c r="B28" s="58"/>
      <c r="C28" s="59"/>
      <c r="D28" s="59"/>
      <c r="E28" s="60"/>
      <c r="F28" s="60"/>
      <c r="G28" s="61" t="s">
        <v>33</v>
      </c>
      <c r="H28" s="67"/>
      <c r="I28" s="67"/>
      <c r="J28" s="67"/>
      <c r="K28" s="67"/>
      <c r="L28" s="209"/>
      <c r="M28" s="69"/>
      <c r="N28" s="67"/>
      <c r="O28" s="67"/>
      <c r="P28" s="67"/>
      <c r="Q28" s="67"/>
      <c r="R28" s="67"/>
      <c r="S28" s="67"/>
      <c r="T28" s="67"/>
      <c r="U28" s="67"/>
      <c r="V28" s="67">
        <f t="shared" si="7"/>
        <v>0</v>
      </c>
      <c r="W28" s="67"/>
    </row>
    <row r="29" spans="1:23" ht="17.25" customHeight="1" outlineLevel="2">
      <c r="A29" s="48"/>
      <c r="B29" s="58"/>
      <c r="C29" s="59"/>
      <c r="D29" s="59"/>
      <c r="E29" s="60"/>
      <c r="F29" s="60"/>
      <c r="G29" s="61" t="s">
        <v>34</v>
      </c>
      <c r="H29" s="67">
        <f>1618+1070</f>
        <v>2688</v>
      </c>
      <c r="I29" s="67"/>
      <c r="J29" s="67"/>
      <c r="K29" s="67"/>
      <c r="L29" s="210"/>
      <c r="M29" s="92"/>
      <c r="N29" s="67"/>
      <c r="O29" s="67"/>
      <c r="P29" s="67"/>
      <c r="Q29" s="67"/>
      <c r="R29" s="67"/>
      <c r="S29" s="67">
        <v>5000</v>
      </c>
      <c r="T29" s="67"/>
      <c r="U29" s="67"/>
      <c r="V29" s="67">
        <f t="shared" si="7"/>
        <v>5000</v>
      </c>
      <c r="W29" s="67"/>
    </row>
    <row r="30" spans="1:23" ht="17.25" customHeight="1" outlineLevel="2">
      <c r="A30" s="48"/>
      <c r="B30" s="58"/>
      <c r="C30" s="59"/>
      <c r="D30" s="59"/>
      <c r="E30" s="60"/>
      <c r="F30" s="60"/>
      <c r="G30" s="61" t="s">
        <v>35</v>
      </c>
      <c r="H30" s="67"/>
      <c r="I30" s="67"/>
      <c r="J30" s="67"/>
      <c r="K30" s="67"/>
      <c r="L30" s="211"/>
      <c r="M30" s="104"/>
      <c r="N30" s="67"/>
      <c r="O30" s="67"/>
      <c r="P30" s="67"/>
      <c r="Q30" s="67"/>
      <c r="R30" s="68"/>
      <c r="S30" s="67">
        <v>7500</v>
      </c>
      <c r="T30" s="67"/>
      <c r="U30" s="67"/>
      <c r="V30" s="67">
        <f t="shared" si="7"/>
        <v>7500</v>
      </c>
      <c r="W30" s="67"/>
    </row>
    <row r="31" spans="1:23" ht="17.25" customHeight="1" outlineLevel="2">
      <c r="A31" s="48"/>
      <c r="B31" s="58"/>
      <c r="C31" s="59"/>
      <c r="D31" s="59"/>
      <c r="E31" s="60"/>
      <c r="F31" s="60"/>
      <c r="G31" s="61" t="s">
        <v>36</v>
      </c>
      <c r="H31" s="67"/>
      <c r="I31" s="67"/>
      <c r="J31" s="67"/>
      <c r="K31" s="67"/>
      <c r="L31" s="209"/>
      <c r="M31" s="69"/>
      <c r="N31" s="67"/>
      <c r="O31" s="67"/>
      <c r="P31" s="67"/>
      <c r="Q31" s="67"/>
      <c r="R31" s="68"/>
      <c r="S31" s="67"/>
      <c r="T31" s="67"/>
      <c r="U31" s="67"/>
      <c r="V31" s="67">
        <f t="shared" si="7"/>
        <v>0</v>
      </c>
      <c r="W31" s="67"/>
    </row>
    <row r="32" spans="1:23" ht="17.25" customHeight="1" outlineLevel="2">
      <c r="A32" s="48"/>
      <c r="B32" s="58"/>
      <c r="C32" s="59"/>
      <c r="D32" s="59"/>
      <c r="E32" s="60"/>
      <c r="F32" s="60"/>
      <c r="G32" s="61" t="s">
        <v>37</v>
      </c>
      <c r="H32" s="67"/>
      <c r="I32" s="67"/>
      <c r="J32" s="67"/>
      <c r="K32" s="67"/>
      <c r="L32" s="209"/>
      <c r="M32" s="69"/>
      <c r="N32" s="67"/>
      <c r="O32" s="67"/>
      <c r="P32" s="67"/>
      <c r="Q32" s="67"/>
      <c r="R32" s="68"/>
      <c r="S32" s="68"/>
      <c r="T32" s="67"/>
      <c r="U32" s="67"/>
      <c r="V32" s="67">
        <f t="shared" si="7"/>
        <v>0</v>
      </c>
      <c r="W32" s="67"/>
    </row>
    <row r="33" spans="1:23" ht="17.25" customHeight="1" outlineLevel="1">
      <c r="A33" s="76"/>
      <c r="B33" s="77">
        <v>0.4</v>
      </c>
      <c r="C33" s="367" t="s">
        <v>144</v>
      </c>
      <c r="D33" s="340"/>
      <c r="E33" s="78">
        <v>45992</v>
      </c>
      <c r="F33" s="78">
        <v>46022</v>
      </c>
      <c r="G33" s="80"/>
      <c r="H33" s="94"/>
      <c r="I33" s="95"/>
      <c r="J33" s="96"/>
      <c r="K33" s="96"/>
      <c r="L33" s="203"/>
      <c r="M33" s="204"/>
      <c r="N33" s="205"/>
      <c r="O33" s="99"/>
      <c r="P33" s="99"/>
      <c r="Q33" s="99"/>
      <c r="R33" s="99"/>
      <c r="S33" s="99"/>
      <c r="T33" s="91">
        <f t="shared" ref="T33:W33" si="8">SUM(T34:T39)</f>
        <v>0</v>
      </c>
      <c r="U33" s="91">
        <f t="shared" si="8"/>
        <v>0</v>
      </c>
      <c r="V33" s="91">
        <f t="shared" si="8"/>
        <v>0</v>
      </c>
      <c r="W33" s="91">
        <f t="shared" si="8"/>
        <v>0</v>
      </c>
    </row>
    <row r="34" spans="1:23" ht="17.25" customHeight="1" outlineLevel="2">
      <c r="A34" s="48"/>
      <c r="B34" s="58"/>
      <c r="C34" s="59"/>
      <c r="D34" s="59"/>
      <c r="E34" s="60"/>
      <c r="F34" s="60"/>
      <c r="G34" s="61" t="s">
        <v>32</v>
      </c>
      <c r="H34" s="62"/>
      <c r="I34" s="63"/>
      <c r="J34" s="64"/>
      <c r="K34" s="206"/>
      <c r="L34" s="207"/>
      <c r="M34" s="208"/>
      <c r="N34" s="67"/>
      <c r="O34" s="67"/>
      <c r="P34" s="67"/>
      <c r="Q34" s="67"/>
      <c r="R34" s="67"/>
      <c r="S34" s="67"/>
      <c r="T34" s="67"/>
      <c r="U34" s="67"/>
      <c r="V34" s="67">
        <f t="shared" ref="V34:V35" si="9">SUM(M34:S34)</f>
        <v>0</v>
      </c>
      <c r="W34" s="67">
        <f t="shared" ref="W34:W37" si="10">SUM(N34:S34)</f>
        <v>0</v>
      </c>
    </row>
    <row r="35" spans="1:23" ht="17.25" customHeight="1" outlineLevel="2">
      <c r="A35" s="48"/>
      <c r="B35" s="58"/>
      <c r="C35" s="59"/>
      <c r="D35" s="59"/>
      <c r="E35" s="60"/>
      <c r="F35" s="60"/>
      <c r="G35" s="61" t="s">
        <v>33</v>
      </c>
      <c r="H35" s="62"/>
      <c r="I35" s="63"/>
      <c r="J35" s="64"/>
      <c r="K35" s="206"/>
      <c r="L35" s="209"/>
      <c r="M35" s="69"/>
      <c r="N35" s="67"/>
      <c r="O35" s="67"/>
      <c r="P35" s="67"/>
      <c r="Q35" s="67"/>
      <c r="R35" s="67"/>
      <c r="S35" s="67"/>
      <c r="T35" s="67"/>
      <c r="U35" s="67"/>
      <c r="V35" s="67">
        <f t="shared" si="9"/>
        <v>0</v>
      </c>
      <c r="W35" s="67">
        <f t="shared" si="10"/>
        <v>0</v>
      </c>
    </row>
    <row r="36" spans="1:23" ht="17.25" customHeight="1" outlineLevel="2">
      <c r="A36" s="48"/>
      <c r="B36" s="58"/>
      <c r="C36" s="59"/>
      <c r="D36" s="59"/>
      <c r="E36" s="60"/>
      <c r="F36" s="60"/>
      <c r="G36" s="61" t="s">
        <v>34</v>
      </c>
      <c r="H36" s="62"/>
      <c r="I36" s="63"/>
      <c r="J36" s="64"/>
      <c r="K36" s="206"/>
      <c r="L36" s="210"/>
      <c r="M36" s="92"/>
      <c r="N36" s="67"/>
      <c r="O36" s="67"/>
      <c r="P36" s="67"/>
      <c r="Q36" s="67"/>
      <c r="R36" s="68"/>
      <c r="S36" s="67"/>
      <c r="T36" s="67"/>
      <c r="U36" s="67"/>
      <c r="V36" s="67"/>
      <c r="W36" s="67">
        <f t="shared" si="10"/>
        <v>0</v>
      </c>
    </row>
    <row r="37" spans="1:23" ht="17.25" customHeight="1" outlineLevel="2">
      <c r="A37" s="48"/>
      <c r="B37" s="58"/>
      <c r="C37" s="59"/>
      <c r="D37" s="59"/>
      <c r="E37" s="60"/>
      <c r="F37" s="60"/>
      <c r="G37" s="61" t="s">
        <v>35</v>
      </c>
      <c r="H37" s="62"/>
      <c r="I37" s="63"/>
      <c r="J37" s="64"/>
      <c r="K37" s="206"/>
      <c r="L37" s="211"/>
      <c r="M37" s="104"/>
      <c r="N37" s="67"/>
      <c r="O37" s="67"/>
      <c r="P37" s="67"/>
      <c r="Q37" s="67"/>
      <c r="R37" s="68"/>
      <c r="S37" s="67"/>
      <c r="T37" s="67"/>
      <c r="U37" s="67"/>
      <c r="V37" s="67">
        <f t="shared" ref="V37:V39" si="11">SUM(M37:S37)</f>
        <v>0</v>
      </c>
      <c r="W37" s="67">
        <f t="shared" si="10"/>
        <v>0</v>
      </c>
    </row>
    <row r="38" spans="1:23" ht="17.25" customHeight="1" outlineLevel="2">
      <c r="A38" s="48"/>
      <c r="B38" s="58"/>
      <c r="C38" s="59"/>
      <c r="D38" s="59"/>
      <c r="E38" s="60"/>
      <c r="F38" s="60"/>
      <c r="G38" s="61" t="s">
        <v>36</v>
      </c>
      <c r="H38" s="62"/>
      <c r="I38" s="63"/>
      <c r="J38" s="64"/>
      <c r="K38" s="206"/>
      <c r="L38" s="209"/>
      <c r="M38" s="69"/>
      <c r="N38" s="67"/>
      <c r="O38" s="67"/>
      <c r="P38" s="67"/>
      <c r="Q38" s="67"/>
      <c r="R38" s="68"/>
      <c r="S38" s="67"/>
      <c r="T38" s="67"/>
      <c r="U38" s="67"/>
      <c r="V38" s="67">
        <f t="shared" si="11"/>
        <v>0</v>
      </c>
      <c r="W38" s="67"/>
    </row>
    <row r="39" spans="1:23" ht="17.25" customHeight="1" outlineLevel="2">
      <c r="A39" s="48"/>
      <c r="B39" s="58"/>
      <c r="C39" s="59"/>
      <c r="D39" s="59"/>
      <c r="E39" s="60"/>
      <c r="F39" s="60"/>
      <c r="G39" s="61" t="s">
        <v>37</v>
      </c>
      <c r="H39" s="62"/>
      <c r="I39" s="63"/>
      <c r="J39" s="64"/>
      <c r="K39" s="212"/>
      <c r="L39" s="209"/>
      <c r="M39" s="69"/>
      <c r="N39" s="67"/>
      <c r="O39" s="67"/>
      <c r="P39" s="67"/>
      <c r="Q39" s="67"/>
      <c r="R39" s="68"/>
      <c r="S39" s="68"/>
      <c r="T39" s="67"/>
      <c r="U39" s="67"/>
      <c r="V39" s="67">
        <f t="shared" si="11"/>
        <v>0</v>
      </c>
      <c r="W39" s="67"/>
    </row>
    <row r="40" spans="1:23" ht="21" customHeight="1">
      <c r="A40" s="19"/>
      <c r="B40" s="39">
        <v>1</v>
      </c>
      <c r="C40" s="40" t="s">
        <v>30</v>
      </c>
      <c r="D40" s="41"/>
      <c r="E40" s="41"/>
      <c r="F40" s="41"/>
      <c r="G40" s="42"/>
      <c r="H40" s="43"/>
      <c r="I40" s="44"/>
      <c r="J40" s="45"/>
      <c r="K40" s="201"/>
      <c r="L40" s="202"/>
      <c r="M40" s="43"/>
      <c r="N40" s="43"/>
      <c r="O40" s="43"/>
      <c r="P40" s="43"/>
      <c r="Q40" s="43"/>
      <c r="R40" s="43"/>
      <c r="S40" s="43"/>
      <c r="T40" s="47">
        <f t="shared" ref="T40:W40" si="12">T41</f>
        <v>40736.918170999998</v>
      </c>
      <c r="U40" s="47">
        <f t="shared" si="12"/>
        <v>0</v>
      </c>
      <c r="V40" s="47">
        <f t="shared" si="12"/>
        <v>0</v>
      </c>
      <c r="W40" s="47">
        <f t="shared" si="12"/>
        <v>0</v>
      </c>
    </row>
    <row r="41" spans="1:23" ht="17.25" customHeight="1" outlineLevel="1">
      <c r="A41" s="48"/>
      <c r="B41" s="49" t="s">
        <v>167</v>
      </c>
      <c r="C41" s="332" t="s">
        <v>31</v>
      </c>
      <c r="D41" s="330"/>
      <c r="E41" s="50">
        <v>45838</v>
      </c>
      <c r="F41" s="50">
        <v>45960</v>
      </c>
      <c r="G41" s="51"/>
      <c r="H41" s="52"/>
      <c r="I41" s="53"/>
      <c r="J41" s="54"/>
      <c r="K41" s="213"/>
      <c r="L41" s="214"/>
      <c r="M41" s="56"/>
      <c r="N41" s="56"/>
      <c r="O41" s="56"/>
      <c r="P41" s="56"/>
      <c r="Q41" s="56"/>
      <c r="R41" s="56"/>
      <c r="S41" s="56"/>
      <c r="T41" s="57">
        <f t="shared" ref="T41:W41" si="13">SUM(T42:T47)</f>
        <v>40736.918170999998</v>
      </c>
      <c r="U41" s="57">
        <f t="shared" si="13"/>
        <v>0</v>
      </c>
      <c r="V41" s="57">
        <f t="shared" si="13"/>
        <v>0</v>
      </c>
      <c r="W41" s="57">
        <f t="shared" si="13"/>
        <v>0</v>
      </c>
    </row>
    <row r="42" spans="1:23" ht="17.25" customHeight="1" outlineLevel="1">
      <c r="A42" s="48"/>
      <c r="B42" s="58"/>
      <c r="C42" s="59"/>
      <c r="D42" s="59"/>
      <c r="E42" s="60"/>
      <c r="F42" s="60"/>
      <c r="G42" s="61" t="s">
        <v>32</v>
      </c>
      <c r="H42" s="62"/>
      <c r="I42" s="63"/>
      <c r="J42" s="64"/>
      <c r="K42" s="212"/>
      <c r="L42" s="215"/>
      <c r="M42" s="275">
        <v>4143</v>
      </c>
      <c r="N42" s="274">
        <v>4627</v>
      </c>
      <c r="O42" s="274">
        <v>7045</v>
      </c>
      <c r="P42" s="274">
        <v>4137</v>
      </c>
      <c r="Q42" s="217"/>
      <c r="R42" s="68"/>
      <c r="S42" s="68"/>
      <c r="T42" s="67">
        <f>SUM(H42:P42)</f>
        <v>19952</v>
      </c>
      <c r="U42" s="67"/>
      <c r="V42" s="67">
        <f>SUM(Q42:S42)</f>
        <v>0</v>
      </c>
      <c r="W42" s="67"/>
    </row>
    <row r="43" spans="1:23" ht="17.25" customHeight="1" outlineLevel="1">
      <c r="A43" s="48"/>
      <c r="B43" s="58"/>
      <c r="C43" s="59"/>
      <c r="D43" s="59"/>
      <c r="E43" s="60"/>
      <c r="F43" s="60"/>
      <c r="G43" s="61" t="s">
        <v>33</v>
      </c>
      <c r="H43" s="62"/>
      <c r="I43" s="63"/>
      <c r="J43" s="64"/>
      <c r="K43" s="212"/>
      <c r="L43" s="209"/>
      <c r="M43" s="69">
        <v>4</v>
      </c>
      <c r="N43" s="67">
        <v>0</v>
      </c>
      <c r="O43" s="276">
        <v>1913</v>
      </c>
      <c r="P43" s="277">
        <v>8907.99</v>
      </c>
      <c r="Q43" s="278">
        <v>2.1581709999999998</v>
      </c>
      <c r="R43" s="68"/>
      <c r="S43" s="68"/>
      <c r="T43" s="67">
        <f t="shared" ref="T43:T45" si="14">SUM(H43:Q43)</f>
        <v>10827.148170999999</v>
      </c>
      <c r="U43" s="67"/>
      <c r="V43" s="67">
        <f t="shared" ref="V43:V45" si="15">SUM(R43:S43)</f>
        <v>0</v>
      </c>
      <c r="W43" s="67"/>
    </row>
    <row r="44" spans="1:23" ht="17.25" customHeight="1" outlineLevel="1">
      <c r="A44" s="48"/>
      <c r="B44" s="58"/>
      <c r="C44" s="59"/>
      <c r="D44" s="59"/>
      <c r="E44" s="60"/>
      <c r="F44" s="60"/>
      <c r="G44" s="61" t="s">
        <v>34</v>
      </c>
      <c r="H44" s="62"/>
      <c r="I44" s="63"/>
      <c r="J44" s="64"/>
      <c r="K44" s="212"/>
      <c r="L44" s="209"/>
      <c r="M44" s="69">
        <v>14</v>
      </c>
      <c r="N44" s="279">
        <v>1684</v>
      </c>
      <c r="O44" s="276">
        <v>1863</v>
      </c>
      <c r="P44" s="276">
        <v>1121.06</v>
      </c>
      <c r="Q44" s="216">
        <v>906.65</v>
      </c>
      <c r="R44" s="68"/>
      <c r="S44" s="68"/>
      <c r="T44" s="67">
        <f t="shared" si="14"/>
        <v>5588.7099999999991</v>
      </c>
      <c r="U44" s="67"/>
      <c r="V44" s="67">
        <f t="shared" si="15"/>
        <v>0</v>
      </c>
      <c r="W44" s="67"/>
    </row>
    <row r="45" spans="1:23" ht="17.25" customHeight="1" outlineLevel="1">
      <c r="A45" s="48"/>
      <c r="B45" s="58"/>
      <c r="C45" s="59"/>
      <c r="D45" s="59"/>
      <c r="E45" s="60"/>
      <c r="F45" s="60"/>
      <c r="G45" s="61" t="s">
        <v>35</v>
      </c>
      <c r="H45" s="62"/>
      <c r="I45" s="63"/>
      <c r="J45" s="64"/>
      <c r="K45" s="212"/>
      <c r="L45" s="209"/>
      <c r="M45" s="69"/>
      <c r="N45" s="67">
        <v>0</v>
      </c>
      <c r="O45" s="276">
        <v>393.81</v>
      </c>
      <c r="P45" s="276">
        <v>1470</v>
      </c>
      <c r="Q45" s="216">
        <v>2505.25</v>
      </c>
      <c r="R45" s="68"/>
      <c r="S45" s="68"/>
      <c r="T45" s="67">
        <f t="shared" si="14"/>
        <v>4369.0599999999995</v>
      </c>
      <c r="U45" s="67"/>
      <c r="V45" s="67">
        <f t="shared" si="15"/>
        <v>0</v>
      </c>
      <c r="W45" s="67"/>
    </row>
    <row r="46" spans="1:23" ht="17.25" customHeight="1" outlineLevel="1">
      <c r="A46" s="48"/>
      <c r="B46" s="58"/>
      <c r="C46" s="59"/>
      <c r="D46" s="59"/>
      <c r="E46" s="60"/>
      <c r="F46" s="60"/>
      <c r="G46" s="61" t="s">
        <v>36</v>
      </c>
      <c r="H46" s="62"/>
      <c r="I46" s="63"/>
      <c r="J46" s="64"/>
      <c r="K46" s="212"/>
      <c r="L46" s="209"/>
      <c r="M46" s="69"/>
      <c r="N46" s="67"/>
      <c r="O46" s="67"/>
      <c r="P46" s="67"/>
      <c r="Q46" s="67"/>
      <c r="R46" s="68"/>
      <c r="S46" s="68"/>
      <c r="T46" s="67">
        <f t="shared" ref="T46:T47" si="16">SUM(H46:O46)</f>
        <v>0</v>
      </c>
      <c r="U46" s="67"/>
      <c r="V46" s="67">
        <f t="shared" ref="V46:V47" si="17">SUM(P46:S46)</f>
        <v>0</v>
      </c>
      <c r="W46" s="67">
        <f>SUM(L46:S46)</f>
        <v>0</v>
      </c>
    </row>
    <row r="47" spans="1:23" ht="17.25" customHeight="1" outlineLevel="1">
      <c r="A47" s="48"/>
      <c r="B47" s="58"/>
      <c r="C47" s="59"/>
      <c r="D47" s="59"/>
      <c r="E47" s="60"/>
      <c r="F47" s="60"/>
      <c r="G47" s="61" t="s">
        <v>37</v>
      </c>
      <c r="H47" s="62"/>
      <c r="I47" s="63"/>
      <c r="J47" s="64"/>
      <c r="K47" s="212"/>
      <c r="L47" s="215"/>
      <c r="M47" s="66"/>
      <c r="N47" s="68"/>
      <c r="O47" s="68"/>
      <c r="P47" s="68"/>
      <c r="Q47" s="68"/>
      <c r="R47" s="68"/>
      <c r="S47" s="68"/>
      <c r="T47" s="67">
        <f t="shared" si="16"/>
        <v>0</v>
      </c>
      <c r="U47" s="67"/>
      <c r="V47" s="67">
        <f t="shared" si="17"/>
        <v>0</v>
      </c>
      <c r="W47" s="67"/>
    </row>
    <row r="48" spans="1:23" ht="21" customHeight="1">
      <c r="A48" s="19"/>
      <c r="B48" s="39">
        <v>2</v>
      </c>
      <c r="C48" s="70" t="s">
        <v>38</v>
      </c>
      <c r="D48" s="42"/>
      <c r="E48" s="71"/>
      <c r="F48" s="71"/>
      <c r="G48" s="71"/>
      <c r="H48" s="71"/>
      <c r="I48" s="73"/>
      <c r="J48" s="74"/>
      <c r="K48" s="220"/>
      <c r="L48" s="221"/>
      <c r="M48" s="73"/>
      <c r="N48" s="73"/>
      <c r="O48" s="73"/>
      <c r="P48" s="73"/>
      <c r="Q48" s="73"/>
      <c r="R48" s="73"/>
      <c r="S48" s="73"/>
      <c r="T48" s="47">
        <f t="shared" ref="T48:W48" si="18">T56+T63+T70+T49</f>
        <v>144184.45651176226</v>
      </c>
      <c r="U48" s="47">
        <f t="shared" si="18"/>
        <v>0</v>
      </c>
      <c r="V48" s="47">
        <f t="shared" si="18"/>
        <v>0</v>
      </c>
      <c r="W48" s="47">
        <f t="shared" si="18"/>
        <v>0</v>
      </c>
    </row>
    <row r="49" spans="1:23" ht="15.75" customHeight="1" outlineLevel="1">
      <c r="A49" s="48"/>
      <c r="B49" s="222">
        <v>2</v>
      </c>
      <c r="C49" s="332" t="s">
        <v>89</v>
      </c>
      <c r="D49" s="330"/>
      <c r="E49" s="116">
        <v>45658</v>
      </c>
      <c r="F49" s="116">
        <v>45746</v>
      </c>
      <c r="G49" s="172"/>
      <c r="H49" s="57"/>
      <c r="I49" s="57"/>
      <c r="J49" s="169"/>
      <c r="K49" s="179"/>
      <c r="L49" s="223"/>
      <c r="M49" s="57"/>
      <c r="N49" s="57"/>
      <c r="O49" s="57"/>
      <c r="P49" s="57"/>
      <c r="Q49" s="57"/>
      <c r="R49" s="57"/>
      <c r="S49" s="57"/>
      <c r="T49" s="57">
        <f t="shared" ref="T49:W49" si="19">SUM(T50:T55)</f>
        <v>11929</v>
      </c>
      <c r="U49" s="57">
        <f t="shared" si="19"/>
        <v>0</v>
      </c>
      <c r="V49" s="57">
        <f t="shared" si="19"/>
        <v>0</v>
      </c>
      <c r="W49" s="57">
        <f t="shared" si="19"/>
        <v>0</v>
      </c>
    </row>
    <row r="50" spans="1:23" ht="13" outlineLevel="2">
      <c r="A50" s="48"/>
      <c r="B50" s="58"/>
      <c r="C50" s="59"/>
      <c r="D50" s="59"/>
      <c r="E50" s="60"/>
      <c r="F50" s="60"/>
      <c r="G50" s="61" t="s">
        <v>32</v>
      </c>
      <c r="H50" s="69"/>
      <c r="I50" s="110">
        <v>2463</v>
      </c>
      <c r="J50" s="224">
        <v>949</v>
      </c>
      <c r="K50" s="206"/>
      <c r="L50" s="209"/>
      <c r="M50" s="69"/>
      <c r="N50" s="69"/>
      <c r="O50" s="69"/>
      <c r="P50" s="69"/>
      <c r="Q50" s="69"/>
      <c r="R50" s="69"/>
      <c r="S50" s="69"/>
      <c r="T50" s="67">
        <f t="shared" ref="T50:T55" si="20">SUM(H50:N50)</f>
        <v>3412</v>
      </c>
      <c r="U50" s="69"/>
      <c r="V50" s="69">
        <f t="shared" ref="V50:V55" si="21">SUM(L50:S50)</f>
        <v>0</v>
      </c>
      <c r="W50" s="69"/>
    </row>
    <row r="51" spans="1:23" ht="17.25" customHeight="1" outlineLevel="2">
      <c r="A51" s="48"/>
      <c r="B51" s="58"/>
      <c r="C51" s="59"/>
      <c r="D51" s="59"/>
      <c r="E51" s="60"/>
      <c r="F51" s="60"/>
      <c r="G51" s="61" t="s">
        <v>33</v>
      </c>
      <c r="H51" s="69"/>
      <c r="I51" s="69"/>
      <c r="J51" s="149"/>
      <c r="K51" s="206"/>
      <c r="L51" s="209"/>
      <c r="M51" s="69"/>
      <c r="N51" s="69"/>
      <c r="O51" s="69"/>
      <c r="P51" s="69"/>
      <c r="Q51" s="69"/>
      <c r="R51" s="69"/>
      <c r="S51" s="69"/>
      <c r="T51" s="130">
        <f t="shared" si="20"/>
        <v>0</v>
      </c>
      <c r="U51" s="69"/>
      <c r="V51" s="69">
        <f t="shared" si="21"/>
        <v>0</v>
      </c>
      <c r="W51" s="69"/>
    </row>
    <row r="52" spans="1:23" ht="17.25" customHeight="1" outlineLevel="2">
      <c r="A52" s="48"/>
      <c r="B52" s="58"/>
      <c r="C52" s="59"/>
      <c r="D52" s="59"/>
      <c r="E52" s="60"/>
      <c r="F52" s="60"/>
      <c r="G52" s="61" t="s">
        <v>34</v>
      </c>
      <c r="H52" s="69">
        <v>146</v>
      </c>
      <c r="I52" s="69">
        <v>1604</v>
      </c>
      <c r="J52" s="149">
        <v>1118</v>
      </c>
      <c r="K52" s="206"/>
      <c r="L52" s="209"/>
      <c r="M52" s="69"/>
      <c r="N52" s="69"/>
      <c r="O52" s="69"/>
      <c r="P52" s="69"/>
      <c r="Q52" s="69"/>
      <c r="R52" s="69"/>
      <c r="S52" s="69"/>
      <c r="T52" s="130">
        <f t="shared" si="20"/>
        <v>2868</v>
      </c>
      <c r="U52" s="69"/>
      <c r="V52" s="69">
        <f t="shared" si="21"/>
        <v>0</v>
      </c>
      <c r="W52" s="69"/>
    </row>
    <row r="53" spans="1:23" ht="17.25" customHeight="1" outlineLevel="2">
      <c r="A53" s="48"/>
      <c r="B53" s="58"/>
      <c r="C53" s="59"/>
      <c r="D53" s="59"/>
      <c r="E53" s="60"/>
      <c r="F53" s="60"/>
      <c r="G53" s="61" t="s">
        <v>35</v>
      </c>
      <c r="H53" s="69"/>
      <c r="I53" s="69">
        <v>2093</v>
      </c>
      <c r="J53" s="149">
        <v>2534</v>
      </c>
      <c r="K53" s="206"/>
      <c r="L53" s="209"/>
      <c r="M53" s="69"/>
      <c r="N53" s="69"/>
      <c r="O53" s="69"/>
      <c r="P53" s="69"/>
      <c r="Q53" s="69"/>
      <c r="R53" s="69"/>
      <c r="S53" s="69"/>
      <c r="T53" s="130">
        <f t="shared" si="20"/>
        <v>4627</v>
      </c>
      <c r="U53" s="69"/>
      <c r="V53" s="69">
        <f t="shared" si="21"/>
        <v>0</v>
      </c>
      <c r="W53" s="69"/>
    </row>
    <row r="54" spans="1:23" ht="17.25" customHeight="1" outlineLevel="2">
      <c r="A54" s="48"/>
      <c r="B54" s="58"/>
      <c r="C54" s="59"/>
      <c r="D54" s="59"/>
      <c r="E54" s="60"/>
      <c r="F54" s="60"/>
      <c r="G54" s="61" t="s">
        <v>36</v>
      </c>
      <c r="H54" s="69"/>
      <c r="I54" s="69"/>
      <c r="J54" s="149"/>
      <c r="K54" s="206"/>
      <c r="L54" s="209"/>
      <c r="M54" s="69"/>
      <c r="N54" s="69"/>
      <c r="O54" s="69"/>
      <c r="P54" s="69"/>
      <c r="Q54" s="69"/>
      <c r="R54" s="69"/>
      <c r="S54" s="69"/>
      <c r="T54" s="130">
        <f t="shared" si="20"/>
        <v>0</v>
      </c>
      <c r="U54" s="69"/>
      <c r="V54" s="69">
        <f t="shared" si="21"/>
        <v>0</v>
      </c>
      <c r="W54" s="69"/>
    </row>
    <row r="55" spans="1:23" ht="17.25" customHeight="1" outlineLevel="2">
      <c r="A55" s="48"/>
      <c r="B55" s="58"/>
      <c r="C55" s="59"/>
      <c r="D55" s="59"/>
      <c r="E55" s="60"/>
      <c r="F55" s="60"/>
      <c r="G55" s="61" t="s">
        <v>90</v>
      </c>
      <c r="H55" s="69"/>
      <c r="I55" s="69">
        <v>511</v>
      </c>
      <c r="J55" s="149">
        <v>511</v>
      </c>
      <c r="K55" s="206"/>
      <c r="L55" s="209"/>
      <c r="M55" s="69"/>
      <c r="N55" s="69"/>
      <c r="O55" s="69"/>
      <c r="P55" s="69"/>
      <c r="Q55" s="69"/>
      <c r="R55" s="69"/>
      <c r="S55" s="69"/>
      <c r="T55" s="130">
        <f t="shared" si="20"/>
        <v>1022</v>
      </c>
      <c r="U55" s="69"/>
      <c r="V55" s="69">
        <f t="shared" si="21"/>
        <v>0</v>
      </c>
      <c r="W55" s="69"/>
    </row>
    <row r="56" spans="1:23" ht="17.25" customHeight="1" outlineLevel="1">
      <c r="A56" s="76"/>
      <c r="B56" s="77">
        <v>2.1</v>
      </c>
      <c r="C56" s="358" t="s">
        <v>39</v>
      </c>
      <c r="D56" s="340"/>
      <c r="E56" s="78">
        <v>45750</v>
      </c>
      <c r="F56" s="79">
        <v>45838</v>
      </c>
      <c r="G56" s="80"/>
      <c r="H56" s="81"/>
      <c r="I56" s="82"/>
      <c r="J56" s="83"/>
      <c r="K56" s="96"/>
      <c r="L56" s="203"/>
      <c r="M56" s="225"/>
      <c r="N56" s="226"/>
      <c r="O56" s="86"/>
      <c r="P56" s="86"/>
      <c r="Q56" s="86"/>
      <c r="R56" s="86"/>
      <c r="S56" s="86"/>
      <c r="T56" s="87">
        <f t="shared" ref="T56:W56" si="22">SUM(T57:T62)</f>
        <v>36636</v>
      </c>
      <c r="U56" s="87">
        <f t="shared" si="22"/>
        <v>0</v>
      </c>
      <c r="V56" s="87">
        <f t="shared" si="22"/>
        <v>0</v>
      </c>
      <c r="W56" s="87">
        <f t="shared" si="22"/>
        <v>0</v>
      </c>
    </row>
    <row r="57" spans="1:23" ht="17.25" customHeight="1" outlineLevel="2">
      <c r="A57" s="48"/>
      <c r="B57" s="58"/>
      <c r="C57" s="59"/>
      <c r="D57" s="59"/>
      <c r="E57" s="60"/>
      <c r="F57" s="60"/>
      <c r="G57" s="61" t="s">
        <v>32</v>
      </c>
      <c r="H57" s="62"/>
      <c r="I57" s="63"/>
      <c r="J57" s="64"/>
      <c r="K57" s="227">
        <v>10824</v>
      </c>
      <c r="L57" s="209"/>
      <c r="M57" s="69"/>
      <c r="N57" s="67"/>
      <c r="O57" s="67"/>
      <c r="P57" s="67"/>
      <c r="Q57" s="67"/>
      <c r="R57" s="68"/>
      <c r="S57" s="68"/>
      <c r="T57" s="67">
        <f t="shared" ref="T57:T62" si="23">SUM(H57:M57)</f>
        <v>10824</v>
      </c>
      <c r="U57" s="67"/>
      <c r="V57" s="67">
        <f t="shared" ref="V57:V62" si="24">SUM(N57:S57)</f>
        <v>0</v>
      </c>
      <c r="W57" s="67"/>
    </row>
    <row r="58" spans="1:23" ht="17.25" customHeight="1" outlineLevel="2">
      <c r="A58" s="48"/>
      <c r="B58" s="58"/>
      <c r="C58" s="59"/>
      <c r="D58" s="59"/>
      <c r="E58" s="60"/>
      <c r="F58" s="60"/>
      <c r="G58" s="61" t="s">
        <v>33</v>
      </c>
      <c r="H58" s="62"/>
      <c r="I58" s="63"/>
      <c r="J58" s="64"/>
      <c r="K58" s="280">
        <v>536</v>
      </c>
      <c r="L58" s="281">
        <v>806</v>
      </c>
      <c r="M58" s="69">
        <v>1151</v>
      </c>
      <c r="N58" s="67"/>
      <c r="O58" s="67"/>
      <c r="P58" s="67"/>
      <c r="Q58" s="67"/>
      <c r="R58" s="68"/>
      <c r="S58" s="68"/>
      <c r="T58" s="67">
        <f t="shared" si="23"/>
        <v>2493</v>
      </c>
      <c r="U58" s="67"/>
      <c r="V58" s="67">
        <f t="shared" si="24"/>
        <v>0</v>
      </c>
      <c r="W58" s="67"/>
    </row>
    <row r="59" spans="1:23" ht="17.25" customHeight="1" outlineLevel="2">
      <c r="A59" s="48"/>
      <c r="B59" s="58"/>
      <c r="C59" s="59"/>
      <c r="D59" s="59"/>
      <c r="E59" s="60"/>
      <c r="F59" s="60"/>
      <c r="G59" s="61" t="s">
        <v>34</v>
      </c>
      <c r="H59" s="62"/>
      <c r="I59" s="63"/>
      <c r="J59" s="64"/>
      <c r="K59" s="206">
        <v>3539</v>
      </c>
      <c r="L59" s="209">
        <v>7125</v>
      </c>
      <c r="M59" s="69">
        <v>3395</v>
      </c>
      <c r="N59" s="67"/>
      <c r="O59" s="67"/>
      <c r="P59" s="67"/>
      <c r="Q59" s="67"/>
      <c r="R59" s="68"/>
      <c r="S59" s="68"/>
      <c r="T59" s="67">
        <f t="shared" si="23"/>
        <v>14059</v>
      </c>
      <c r="U59" s="67"/>
      <c r="V59" s="67">
        <f t="shared" si="24"/>
        <v>0</v>
      </c>
      <c r="W59" s="67"/>
    </row>
    <row r="60" spans="1:23" ht="17.25" customHeight="1" outlineLevel="2">
      <c r="A60" s="48"/>
      <c r="B60" s="58"/>
      <c r="C60" s="59"/>
      <c r="D60" s="59"/>
      <c r="E60" s="60"/>
      <c r="F60" s="60"/>
      <c r="G60" s="61" t="s">
        <v>35</v>
      </c>
      <c r="H60" s="62"/>
      <c r="I60" s="63"/>
      <c r="J60" s="64"/>
      <c r="K60" s="206">
        <v>3243</v>
      </c>
      <c r="L60" s="209">
        <v>2515</v>
      </c>
      <c r="M60" s="69">
        <v>1390</v>
      </c>
      <c r="N60" s="67"/>
      <c r="O60" s="67"/>
      <c r="P60" s="67"/>
      <c r="Q60" s="67"/>
      <c r="R60" s="68"/>
      <c r="S60" s="68"/>
      <c r="T60" s="67">
        <f t="shared" si="23"/>
        <v>7148</v>
      </c>
      <c r="U60" s="67"/>
      <c r="V60" s="67">
        <f t="shared" si="24"/>
        <v>0</v>
      </c>
      <c r="W60" s="67"/>
    </row>
    <row r="61" spans="1:23" ht="17.25" customHeight="1" outlineLevel="2">
      <c r="A61" s="48"/>
      <c r="B61" s="58"/>
      <c r="C61" s="59"/>
      <c r="D61" s="59"/>
      <c r="E61" s="60"/>
      <c r="F61" s="60"/>
      <c r="G61" s="61" t="s">
        <v>36</v>
      </c>
      <c r="H61" s="62"/>
      <c r="I61" s="63"/>
      <c r="J61" s="64"/>
      <c r="K61" s="206">
        <v>752</v>
      </c>
      <c r="L61" s="209">
        <v>1360</v>
      </c>
      <c r="M61" s="69"/>
      <c r="N61" s="67"/>
      <c r="O61" s="67"/>
      <c r="P61" s="67"/>
      <c r="Q61" s="67"/>
      <c r="R61" s="68"/>
      <c r="S61" s="68"/>
      <c r="T61" s="67">
        <f t="shared" si="23"/>
        <v>2112</v>
      </c>
      <c r="U61" s="67"/>
      <c r="V61" s="67">
        <f t="shared" si="24"/>
        <v>0</v>
      </c>
      <c r="W61" s="67"/>
    </row>
    <row r="62" spans="1:23" ht="17.25" customHeight="1" outlineLevel="2">
      <c r="A62" s="48"/>
      <c r="B62" s="58"/>
      <c r="C62" s="59"/>
      <c r="D62" s="59"/>
      <c r="E62" s="60"/>
      <c r="F62" s="60"/>
      <c r="G62" s="61" t="s">
        <v>37</v>
      </c>
      <c r="H62" s="62"/>
      <c r="I62" s="63"/>
      <c r="J62" s="64"/>
      <c r="K62" s="212"/>
      <c r="L62" s="209"/>
      <c r="M62" s="69"/>
      <c r="N62" s="67"/>
      <c r="O62" s="67"/>
      <c r="P62" s="67"/>
      <c r="Q62" s="67"/>
      <c r="R62" s="68"/>
      <c r="S62" s="68"/>
      <c r="T62" s="67">
        <f t="shared" si="23"/>
        <v>0</v>
      </c>
      <c r="U62" s="67"/>
      <c r="V62" s="67">
        <f t="shared" si="24"/>
        <v>0</v>
      </c>
      <c r="W62" s="67"/>
    </row>
    <row r="63" spans="1:23" ht="17.25" customHeight="1" outlineLevel="1">
      <c r="A63" s="76"/>
      <c r="B63" s="77">
        <v>2.2000000000000002</v>
      </c>
      <c r="C63" s="358" t="s">
        <v>40</v>
      </c>
      <c r="D63" s="340"/>
      <c r="E63" s="89">
        <v>45786</v>
      </c>
      <c r="F63" s="79">
        <v>45823</v>
      </c>
      <c r="G63" s="90"/>
      <c r="H63" s="81"/>
      <c r="I63" s="82"/>
      <c r="J63" s="83"/>
      <c r="K63" s="96"/>
      <c r="L63" s="203"/>
      <c r="M63" s="225"/>
      <c r="N63" s="226"/>
      <c r="O63" s="86"/>
      <c r="P63" s="86"/>
      <c r="Q63" s="86"/>
      <c r="R63" s="86"/>
      <c r="S63" s="86"/>
      <c r="T63" s="91">
        <f t="shared" ref="T63:W63" si="25">SUM(T64:T69)</f>
        <v>47807.276511762269</v>
      </c>
      <c r="U63" s="91">
        <f t="shared" si="25"/>
        <v>0</v>
      </c>
      <c r="V63" s="91">
        <f t="shared" si="25"/>
        <v>0</v>
      </c>
      <c r="W63" s="91">
        <f t="shared" si="25"/>
        <v>0</v>
      </c>
    </row>
    <row r="64" spans="1:23" ht="17.25" customHeight="1" outlineLevel="2">
      <c r="A64" s="48"/>
      <c r="B64" s="58"/>
      <c r="C64" s="59"/>
      <c r="D64" s="59"/>
      <c r="E64" s="60"/>
      <c r="F64" s="60"/>
      <c r="G64" s="61" t="s">
        <v>32</v>
      </c>
      <c r="H64" s="62"/>
      <c r="I64" s="63"/>
      <c r="J64" s="64"/>
      <c r="K64" s="227">
        <v>4813</v>
      </c>
      <c r="L64" s="228">
        <v>16341</v>
      </c>
      <c r="M64" s="110">
        <v>4993.2765117622703</v>
      </c>
      <c r="N64" s="67"/>
      <c r="O64" s="67"/>
      <c r="P64" s="67"/>
      <c r="Q64" s="67"/>
      <c r="R64" s="68"/>
      <c r="S64" s="68"/>
      <c r="T64" s="67">
        <f t="shared" ref="T64:T69" si="26">SUM(H64:M64)</f>
        <v>26147.276511762269</v>
      </c>
      <c r="U64" s="67"/>
      <c r="V64" s="67">
        <f t="shared" ref="V64:V69" si="27">SUM(N64:S64)</f>
        <v>0</v>
      </c>
      <c r="W64" s="67"/>
    </row>
    <row r="65" spans="1:23" ht="17.25" customHeight="1" outlineLevel="2">
      <c r="A65" s="48"/>
      <c r="B65" s="58"/>
      <c r="C65" s="59"/>
      <c r="D65" s="59"/>
      <c r="E65" s="60"/>
      <c r="F65" s="60"/>
      <c r="G65" s="61" t="s">
        <v>33</v>
      </c>
      <c r="H65" s="62"/>
      <c r="I65" s="63"/>
      <c r="J65" s="64"/>
      <c r="K65" s="206"/>
      <c r="L65" s="281">
        <v>3343</v>
      </c>
      <c r="M65" s="282">
        <v>2878</v>
      </c>
      <c r="N65" s="67"/>
      <c r="O65" s="67"/>
      <c r="P65" s="67"/>
      <c r="Q65" s="67"/>
      <c r="R65" s="68"/>
      <c r="S65" s="68"/>
      <c r="T65" s="67">
        <f t="shared" si="26"/>
        <v>6221</v>
      </c>
      <c r="U65" s="67"/>
      <c r="V65" s="67">
        <f t="shared" si="27"/>
        <v>0</v>
      </c>
      <c r="W65" s="67"/>
    </row>
    <row r="66" spans="1:23" ht="17.25" customHeight="1" outlineLevel="2">
      <c r="A66" s="48"/>
      <c r="B66" s="58"/>
      <c r="C66" s="59"/>
      <c r="D66" s="59"/>
      <c r="E66" s="60"/>
      <c r="F66" s="60"/>
      <c r="G66" s="61" t="s">
        <v>34</v>
      </c>
      <c r="H66" s="62"/>
      <c r="I66" s="63"/>
      <c r="J66" s="64"/>
      <c r="K66" s="206"/>
      <c r="L66" s="210">
        <v>2507</v>
      </c>
      <c r="M66" s="92">
        <v>1610</v>
      </c>
      <c r="N66" s="67"/>
      <c r="O66" s="67"/>
      <c r="P66" s="67"/>
      <c r="Q66" s="67"/>
      <c r="R66" s="68"/>
      <c r="S66" s="68"/>
      <c r="T66" s="67">
        <f t="shared" si="26"/>
        <v>4117</v>
      </c>
      <c r="U66" s="67"/>
      <c r="V66" s="67">
        <f t="shared" si="27"/>
        <v>0</v>
      </c>
      <c r="W66" s="67"/>
    </row>
    <row r="67" spans="1:23" ht="17.25" customHeight="1" outlineLevel="2">
      <c r="A67" s="48"/>
      <c r="B67" s="58"/>
      <c r="C67" s="59"/>
      <c r="D67" s="59"/>
      <c r="E67" s="60"/>
      <c r="F67" s="60"/>
      <c r="G67" s="61" t="s">
        <v>35</v>
      </c>
      <c r="H67" s="62"/>
      <c r="I67" s="63"/>
      <c r="J67" s="64"/>
      <c r="K67" s="206"/>
      <c r="L67" s="210">
        <v>6773</v>
      </c>
      <c r="M67" s="92">
        <v>4549</v>
      </c>
      <c r="N67" s="67"/>
      <c r="O67" s="67"/>
      <c r="P67" s="67"/>
      <c r="Q67" s="67"/>
      <c r="R67" s="68"/>
      <c r="S67" s="68"/>
      <c r="T67" s="67">
        <f t="shared" si="26"/>
        <v>11322</v>
      </c>
      <c r="U67" s="67"/>
      <c r="V67" s="67">
        <f t="shared" si="27"/>
        <v>0</v>
      </c>
      <c r="W67" s="67"/>
    </row>
    <row r="68" spans="1:23" ht="17.25" customHeight="1" outlineLevel="2">
      <c r="A68" s="48"/>
      <c r="B68" s="58"/>
      <c r="C68" s="59"/>
      <c r="D68" s="59"/>
      <c r="E68" s="60"/>
      <c r="F68" s="60"/>
      <c r="G68" s="61" t="s">
        <v>36</v>
      </c>
      <c r="H68" s="62"/>
      <c r="I68" s="63"/>
      <c r="J68" s="64"/>
      <c r="K68" s="206"/>
      <c r="L68" s="209"/>
      <c r="M68" s="69"/>
      <c r="N68" s="67"/>
      <c r="O68" s="67"/>
      <c r="P68" s="67"/>
      <c r="Q68" s="67"/>
      <c r="R68" s="68"/>
      <c r="S68" s="68"/>
      <c r="T68" s="67">
        <f t="shared" si="26"/>
        <v>0</v>
      </c>
      <c r="U68" s="67"/>
      <c r="V68" s="67">
        <f t="shared" si="27"/>
        <v>0</v>
      </c>
      <c r="W68" s="67">
        <f>SUM(L68:S68)</f>
        <v>0</v>
      </c>
    </row>
    <row r="69" spans="1:23" ht="17.25" customHeight="1" outlineLevel="2">
      <c r="A69" s="48"/>
      <c r="B69" s="58"/>
      <c r="C69" s="59"/>
      <c r="D69" s="59"/>
      <c r="E69" s="60"/>
      <c r="F69" s="60"/>
      <c r="G69" s="61" t="s">
        <v>37</v>
      </c>
      <c r="H69" s="62"/>
      <c r="I69" s="63"/>
      <c r="J69" s="64"/>
      <c r="K69" s="212"/>
      <c r="L69" s="209"/>
      <c r="M69" s="69"/>
      <c r="N69" s="67"/>
      <c r="O69" s="67"/>
      <c r="P69" s="67"/>
      <c r="Q69" s="67"/>
      <c r="R69" s="68"/>
      <c r="S69" s="68"/>
      <c r="T69" s="67">
        <f t="shared" si="26"/>
        <v>0</v>
      </c>
      <c r="U69" s="67"/>
      <c r="V69" s="67">
        <f t="shared" si="27"/>
        <v>0</v>
      </c>
      <c r="W69" s="67"/>
    </row>
    <row r="70" spans="1:23" ht="17.25" customHeight="1" outlineLevel="1">
      <c r="A70" s="76"/>
      <c r="B70" s="77">
        <v>2.2999999999999998</v>
      </c>
      <c r="C70" s="358" t="s">
        <v>41</v>
      </c>
      <c r="D70" s="340"/>
      <c r="E70" s="78">
        <v>45845</v>
      </c>
      <c r="F70" s="77" t="s">
        <v>77</v>
      </c>
      <c r="G70" s="80"/>
      <c r="H70" s="94"/>
      <c r="I70" s="95"/>
      <c r="J70" s="96"/>
      <c r="K70" s="96"/>
      <c r="L70" s="203"/>
      <c r="M70" s="204"/>
      <c r="N70" s="205"/>
      <c r="O70" s="99"/>
      <c r="P70" s="99"/>
      <c r="Q70" s="99"/>
      <c r="R70" s="99"/>
      <c r="S70" s="99"/>
      <c r="T70" s="91">
        <f t="shared" ref="T70:W70" si="28">SUM(T71:T76)</f>
        <v>47812.18</v>
      </c>
      <c r="U70" s="91">
        <f t="shared" si="28"/>
        <v>0</v>
      </c>
      <c r="V70" s="91">
        <f t="shared" si="28"/>
        <v>0</v>
      </c>
      <c r="W70" s="91">
        <f t="shared" si="28"/>
        <v>0</v>
      </c>
    </row>
    <row r="71" spans="1:23" ht="17.25" customHeight="1" outlineLevel="2">
      <c r="A71" s="48"/>
      <c r="B71" s="58"/>
      <c r="C71" s="59"/>
      <c r="D71" s="59"/>
      <c r="E71" s="60"/>
      <c r="F71" s="60"/>
      <c r="G71" s="61" t="s">
        <v>32</v>
      </c>
      <c r="H71" s="62"/>
      <c r="I71" s="63"/>
      <c r="J71" s="64"/>
      <c r="K71" s="206"/>
      <c r="L71" s="207"/>
      <c r="M71" s="208"/>
      <c r="N71" s="103">
        <v>4602</v>
      </c>
      <c r="O71" s="103">
        <v>4602</v>
      </c>
      <c r="P71" s="283">
        <v>4960</v>
      </c>
      <c r="Q71" s="67"/>
      <c r="R71" s="68"/>
      <c r="S71" s="68"/>
      <c r="T71" s="67">
        <f t="shared" ref="T71:T74" si="29">SUM(H71:P71)</f>
        <v>14164</v>
      </c>
      <c r="U71" s="67"/>
      <c r="V71" s="67">
        <f>SUM(Q71:S71)</f>
        <v>0</v>
      </c>
      <c r="W71" s="67"/>
    </row>
    <row r="72" spans="1:23" ht="17.25" customHeight="1" outlineLevel="2">
      <c r="A72" s="48"/>
      <c r="B72" s="58"/>
      <c r="C72" s="59"/>
      <c r="D72" s="59"/>
      <c r="E72" s="60"/>
      <c r="F72" s="60"/>
      <c r="G72" s="61" t="s">
        <v>33</v>
      </c>
      <c r="H72" s="62"/>
      <c r="I72" s="63"/>
      <c r="J72" s="64"/>
      <c r="K72" s="206"/>
      <c r="L72" s="209"/>
      <c r="M72" s="69"/>
      <c r="N72" s="279">
        <v>4855</v>
      </c>
      <c r="O72" s="284">
        <v>6844</v>
      </c>
      <c r="P72" s="229"/>
      <c r="Q72" s="67"/>
      <c r="R72" s="68"/>
      <c r="S72" s="68"/>
      <c r="T72" s="67">
        <f t="shared" si="29"/>
        <v>11699</v>
      </c>
      <c r="U72" s="67"/>
      <c r="V72" s="67">
        <f>SUM(P72:S72)</f>
        <v>0</v>
      </c>
      <c r="W72" s="67"/>
    </row>
    <row r="73" spans="1:23" ht="17.25" customHeight="1" outlineLevel="2">
      <c r="A73" s="48"/>
      <c r="B73" s="58"/>
      <c r="C73" s="59"/>
      <c r="D73" s="59"/>
      <c r="E73" s="60"/>
      <c r="F73" s="60"/>
      <c r="G73" s="61" t="s">
        <v>34</v>
      </c>
      <c r="H73" s="62"/>
      <c r="I73" s="63"/>
      <c r="J73" s="64"/>
      <c r="K73" s="206"/>
      <c r="L73" s="210"/>
      <c r="M73" s="92"/>
      <c r="N73" s="67">
        <v>4827</v>
      </c>
      <c r="O73" s="276">
        <v>8355.99</v>
      </c>
      <c r="P73" s="276">
        <v>389.19</v>
      </c>
      <c r="Q73" s="67"/>
      <c r="R73" s="68"/>
      <c r="S73" s="68"/>
      <c r="T73" s="67">
        <f t="shared" si="29"/>
        <v>13572.18</v>
      </c>
      <c r="U73" s="67"/>
      <c r="V73" s="67">
        <f t="shared" ref="V73:V74" si="30">SUM(Q73:S73)</f>
        <v>0</v>
      </c>
      <c r="W73" s="67"/>
    </row>
    <row r="74" spans="1:23" ht="17.25" customHeight="1" outlineLevel="2">
      <c r="A74" s="48"/>
      <c r="B74" s="58"/>
      <c r="C74" s="59"/>
      <c r="D74" s="59"/>
      <c r="E74" s="60"/>
      <c r="F74" s="60"/>
      <c r="G74" s="61" t="s">
        <v>35</v>
      </c>
      <c r="H74" s="62"/>
      <c r="I74" s="63"/>
      <c r="J74" s="64"/>
      <c r="K74" s="206"/>
      <c r="L74" s="211"/>
      <c r="M74" s="104"/>
      <c r="N74" s="67">
        <v>3681</v>
      </c>
      <c r="O74" s="276">
        <v>4353</v>
      </c>
      <c r="P74" s="276">
        <v>343</v>
      </c>
      <c r="Q74" s="67"/>
      <c r="R74" s="68"/>
      <c r="S74" s="68"/>
      <c r="T74" s="67">
        <f t="shared" si="29"/>
        <v>8377</v>
      </c>
      <c r="U74" s="67"/>
      <c r="V74" s="67">
        <f t="shared" si="30"/>
        <v>0</v>
      </c>
      <c r="W74" s="67"/>
    </row>
    <row r="75" spans="1:23" ht="17.25" customHeight="1" outlineLevel="2">
      <c r="A75" s="48"/>
      <c r="B75" s="58"/>
      <c r="C75" s="59"/>
      <c r="D75" s="59"/>
      <c r="E75" s="60"/>
      <c r="F75" s="60"/>
      <c r="G75" s="61" t="s">
        <v>36</v>
      </c>
      <c r="H75" s="62"/>
      <c r="I75" s="63"/>
      <c r="J75" s="64"/>
      <c r="K75" s="206"/>
      <c r="L75" s="209"/>
      <c r="M75" s="69"/>
      <c r="N75" s="67"/>
      <c r="O75" s="67"/>
      <c r="P75" s="67"/>
      <c r="Q75" s="67"/>
      <c r="R75" s="68"/>
      <c r="S75" s="68"/>
      <c r="T75" s="67">
        <f t="shared" ref="T75:T76" si="31">SUM(H75:O75)</f>
        <v>0</v>
      </c>
      <c r="U75" s="67"/>
      <c r="V75" s="67">
        <f t="shared" ref="V75:V76" si="32">SUM(P75:S75)</f>
        <v>0</v>
      </c>
      <c r="W75" s="67">
        <f>SUM(L75:S75)</f>
        <v>0</v>
      </c>
    </row>
    <row r="76" spans="1:23" ht="17.25" customHeight="1" outlineLevel="2">
      <c r="A76" s="48"/>
      <c r="B76" s="58"/>
      <c r="C76" s="59"/>
      <c r="D76" s="59"/>
      <c r="E76" s="60"/>
      <c r="F76" s="60"/>
      <c r="G76" s="61" t="s">
        <v>37</v>
      </c>
      <c r="H76" s="62"/>
      <c r="I76" s="63"/>
      <c r="J76" s="64"/>
      <c r="K76" s="212"/>
      <c r="L76" s="209"/>
      <c r="M76" s="69"/>
      <c r="N76" s="67"/>
      <c r="O76" s="67"/>
      <c r="P76" s="67"/>
      <c r="Q76" s="67"/>
      <c r="R76" s="68"/>
      <c r="S76" s="68"/>
      <c r="T76" s="67">
        <f t="shared" si="31"/>
        <v>0</v>
      </c>
      <c r="U76" s="67"/>
      <c r="V76" s="67">
        <f t="shared" si="32"/>
        <v>0</v>
      </c>
      <c r="W76" s="67"/>
    </row>
    <row r="77" spans="1:23" ht="21" customHeight="1">
      <c r="A77" s="19"/>
      <c r="B77" s="39">
        <v>3</v>
      </c>
      <c r="C77" s="40" t="s">
        <v>44</v>
      </c>
      <c r="D77" s="41"/>
      <c r="E77" s="71"/>
      <c r="F77" s="71"/>
      <c r="G77" s="72"/>
      <c r="H77" s="111"/>
      <c r="I77" s="112"/>
      <c r="J77" s="113"/>
      <c r="K77" s="230"/>
      <c r="L77" s="231"/>
      <c r="M77" s="111"/>
      <c r="N77" s="111"/>
      <c r="O77" s="111"/>
      <c r="P77" s="111"/>
      <c r="Q77" s="111"/>
      <c r="R77" s="111"/>
      <c r="S77" s="111"/>
      <c r="T77" s="115">
        <f t="shared" ref="T77:W77" si="33">T78+T85</f>
        <v>114471.64083340576</v>
      </c>
      <c r="U77" s="115">
        <f t="shared" si="33"/>
        <v>0</v>
      </c>
      <c r="V77" s="115">
        <f t="shared" si="33"/>
        <v>64081</v>
      </c>
      <c r="W77" s="115">
        <f t="shared" si="33"/>
        <v>0</v>
      </c>
    </row>
    <row r="78" spans="1:23" ht="17.25" customHeight="1" outlineLevel="1">
      <c r="A78" s="48"/>
      <c r="B78" s="49">
        <v>3.1</v>
      </c>
      <c r="C78" s="339" t="s">
        <v>145</v>
      </c>
      <c r="D78" s="340"/>
      <c r="E78" s="116">
        <v>45748</v>
      </c>
      <c r="F78" s="50">
        <v>46021</v>
      </c>
      <c r="G78" s="117"/>
      <c r="H78" s="118"/>
      <c r="I78" s="118"/>
      <c r="J78" s="119"/>
      <c r="K78" s="138"/>
      <c r="L78" s="232"/>
      <c r="M78" s="121"/>
      <c r="N78" s="118"/>
      <c r="O78" s="118"/>
      <c r="P78" s="118"/>
      <c r="Q78" s="118"/>
      <c r="R78" s="118"/>
      <c r="S78" s="118"/>
      <c r="T78" s="91">
        <f t="shared" ref="T78:W78" si="34">SUM(T79:T84)</f>
        <v>94014.000833405764</v>
      </c>
      <c r="U78" s="122">
        <f t="shared" si="34"/>
        <v>0</v>
      </c>
      <c r="V78" s="91">
        <f t="shared" si="34"/>
        <v>62081</v>
      </c>
      <c r="W78" s="91">
        <f t="shared" si="34"/>
        <v>0</v>
      </c>
    </row>
    <row r="79" spans="1:23" ht="17.25" customHeight="1" outlineLevel="2">
      <c r="A79" s="48"/>
      <c r="B79" s="58"/>
      <c r="C79" s="123"/>
      <c r="D79" s="123"/>
      <c r="E79" s="124"/>
      <c r="F79" s="60"/>
      <c r="G79" s="61" t="s">
        <v>32</v>
      </c>
      <c r="H79" s="233">
        <v>3289</v>
      </c>
      <c r="I79" s="233">
        <v>3289</v>
      </c>
      <c r="J79" s="233">
        <v>3017</v>
      </c>
      <c r="K79" s="126"/>
      <c r="L79" s="234"/>
      <c r="M79" s="128"/>
      <c r="N79" s="125"/>
      <c r="O79" s="125"/>
      <c r="P79" s="285">
        <v>6046</v>
      </c>
      <c r="Q79" s="285">
        <v>10737</v>
      </c>
      <c r="R79" s="274">
        <f>22556+10788</f>
        <v>33344</v>
      </c>
      <c r="S79" s="125"/>
      <c r="T79" s="130">
        <f t="shared" ref="T79:T82" si="35">SUM(H79:P79)</f>
        <v>15641</v>
      </c>
      <c r="U79" s="131"/>
      <c r="V79" s="130">
        <f t="shared" ref="V79:V82" si="36">SUM(Q79:S79)</f>
        <v>44081</v>
      </c>
      <c r="W79" s="130"/>
    </row>
    <row r="80" spans="1:23" ht="17.25" customHeight="1" outlineLevel="2">
      <c r="A80" s="48"/>
      <c r="B80" s="58"/>
      <c r="C80" s="123"/>
      <c r="D80" s="123"/>
      <c r="E80" s="124"/>
      <c r="F80" s="60"/>
      <c r="G80" s="61" t="s">
        <v>33</v>
      </c>
      <c r="H80" s="92"/>
      <c r="I80" s="92"/>
      <c r="J80" s="144"/>
      <c r="K80" s="206"/>
      <c r="L80" s="209">
        <v>1857</v>
      </c>
      <c r="M80" s="69">
        <v>3148</v>
      </c>
      <c r="N80" s="109">
        <v>1800</v>
      </c>
      <c r="O80" s="236">
        <v>3795</v>
      </c>
      <c r="P80" s="236">
        <v>3658</v>
      </c>
      <c r="Q80" s="125"/>
      <c r="R80" s="125"/>
      <c r="S80" s="125"/>
      <c r="T80" s="130">
        <f t="shared" si="35"/>
        <v>14258</v>
      </c>
      <c r="U80" s="131"/>
      <c r="V80" s="130">
        <f t="shared" si="36"/>
        <v>0</v>
      </c>
      <c r="W80" s="130"/>
    </row>
    <row r="81" spans="1:23" ht="17.25" customHeight="1" outlineLevel="2">
      <c r="A81" s="48"/>
      <c r="B81" s="58"/>
      <c r="C81" s="123"/>
      <c r="D81" s="123"/>
      <c r="E81" s="124"/>
      <c r="F81" s="60"/>
      <c r="G81" s="61" t="s">
        <v>34</v>
      </c>
      <c r="H81" s="92">
        <v>2616</v>
      </c>
      <c r="I81" s="92">
        <v>2444</v>
      </c>
      <c r="J81" s="144">
        <v>3577</v>
      </c>
      <c r="K81" s="206">
        <v>1637</v>
      </c>
      <c r="L81" s="210">
        <v>2334</v>
      </c>
      <c r="M81" s="92">
        <v>2901</v>
      </c>
      <c r="N81" s="286">
        <v>4918</v>
      </c>
      <c r="O81" s="239">
        <v>3903</v>
      </c>
      <c r="P81" s="239">
        <v>3898</v>
      </c>
      <c r="Q81" s="125"/>
      <c r="R81" s="236">
        <v>8000</v>
      </c>
      <c r="S81" s="125"/>
      <c r="T81" s="130">
        <f t="shared" si="35"/>
        <v>28228</v>
      </c>
      <c r="U81" s="131"/>
      <c r="V81" s="130">
        <f t="shared" si="36"/>
        <v>8000</v>
      </c>
      <c r="W81" s="130"/>
    </row>
    <row r="82" spans="1:23" ht="17.25" customHeight="1" outlineLevel="2">
      <c r="A82" s="48"/>
      <c r="B82" s="58"/>
      <c r="C82" s="123"/>
      <c r="D82" s="123"/>
      <c r="E82" s="124"/>
      <c r="F82" s="60"/>
      <c r="G82" s="61" t="s">
        <v>35</v>
      </c>
      <c r="H82" s="69">
        <v>3914.9619343194449</v>
      </c>
      <c r="I82" s="69">
        <v>4824.0388990863212</v>
      </c>
      <c r="J82" s="69">
        <v>4586</v>
      </c>
      <c r="K82" s="206">
        <f>3268+34</f>
        <v>3302</v>
      </c>
      <c r="L82" s="210">
        <v>2256</v>
      </c>
      <c r="M82" s="92">
        <v>5467</v>
      </c>
      <c r="N82" s="286">
        <v>3178</v>
      </c>
      <c r="O82" s="239">
        <v>3466</v>
      </c>
      <c r="P82" s="239">
        <v>4893</v>
      </c>
      <c r="Q82" s="125"/>
      <c r="R82" s="236">
        <v>10000</v>
      </c>
      <c r="S82" s="125"/>
      <c r="T82" s="130">
        <f t="shared" si="35"/>
        <v>35887.000833405764</v>
      </c>
      <c r="U82" s="131"/>
      <c r="V82" s="130">
        <f t="shared" si="36"/>
        <v>10000</v>
      </c>
      <c r="W82" s="130"/>
    </row>
    <row r="83" spans="1:23" ht="17.25" customHeight="1" outlineLevel="2">
      <c r="A83" s="48"/>
      <c r="B83" s="58"/>
      <c r="C83" s="123"/>
      <c r="D83" s="123"/>
      <c r="E83" s="124"/>
      <c r="F83" s="60"/>
      <c r="G83" s="61" t="s">
        <v>36</v>
      </c>
      <c r="H83" s="125"/>
      <c r="I83" s="125"/>
      <c r="J83" s="126"/>
      <c r="K83" s="126"/>
      <c r="L83" s="234"/>
      <c r="M83" s="128"/>
      <c r="N83" s="125"/>
      <c r="O83" s="125"/>
      <c r="P83" s="130"/>
      <c r="Q83" s="125"/>
      <c r="R83" s="125"/>
      <c r="S83" s="125"/>
      <c r="T83" s="130">
        <f t="shared" ref="T83:T84" si="37">SUM(H83:N83)</f>
        <v>0</v>
      </c>
      <c r="U83" s="131"/>
      <c r="V83" s="130"/>
      <c r="W83" s="130">
        <f>SUM(M83:S83)</f>
        <v>0</v>
      </c>
    </row>
    <row r="84" spans="1:23" ht="17.25" customHeight="1" outlineLevel="2">
      <c r="A84" s="48"/>
      <c r="B84" s="58"/>
      <c r="C84" s="123"/>
      <c r="D84" s="123"/>
      <c r="E84" s="124"/>
      <c r="F84" s="60"/>
      <c r="G84" s="132" t="s">
        <v>37</v>
      </c>
      <c r="H84" s="125"/>
      <c r="I84" s="125"/>
      <c r="J84" s="126"/>
      <c r="K84" s="126"/>
      <c r="L84" s="234"/>
      <c r="M84" s="128"/>
      <c r="N84" s="125"/>
      <c r="O84" s="125"/>
      <c r="P84" s="125"/>
      <c r="Q84" s="125"/>
      <c r="R84" s="125"/>
      <c r="S84" s="125"/>
      <c r="T84" s="130">
        <f t="shared" si="37"/>
        <v>0</v>
      </c>
      <c r="U84" s="131"/>
      <c r="V84" s="130"/>
      <c r="W84" s="130"/>
    </row>
    <row r="85" spans="1:23" ht="17.25" customHeight="1" outlineLevel="1">
      <c r="A85" s="48"/>
      <c r="B85" s="49">
        <v>3.2</v>
      </c>
      <c r="C85" s="359" t="s">
        <v>146</v>
      </c>
      <c r="D85" s="360"/>
      <c r="E85" s="50">
        <v>45818</v>
      </c>
      <c r="F85" s="50">
        <v>46021</v>
      </c>
      <c r="G85" s="135"/>
      <c r="H85" s="136"/>
      <c r="I85" s="137"/>
      <c r="J85" s="138"/>
      <c r="K85" s="138"/>
      <c r="L85" s="232"/>
      <c r="M85" s="140"/>
      <c r="N85" s="141"/>
      <c r="O85" s="141"/>
      <c r="P85" s="141"/>
      <c r="Q85" s="141"/>
      <c r="R85" s="141"/>
      <c r="S85" s="141"/>
      <c r="T85" s="142">
        <f t="shared" ref="T85:W85" si="38">SUM(T86:T91)</f>
        <v>20457.64</v>
      </c>
      <c r="U85" s="142">
        <f t="shared" si="38"/>
        <v>0</v>
      </c>
      <c r="V85" s="142">
        <f t="shared" si="38"/>
        <v>2000</v>
      </c>
      <c r="W85" s="142">
        <f t="shared" si="38"/>
        <v>0</v>
      </c>
    </row>
    <row r="86" spans="1:23" ht="17.25" customHeight="1" outlineLevel="2">
      <c r="A86" s="48"/>
      <c r="B86" s="58"/>
      <c r="C86" s="59"/>
      <c r="D86" s="59"/>
      <c r="E86" s="60"/>
      <c r="F86" s="60"/>
      <c r="G86" s="61" t="s">
        <v>32</v>
      </c>
      <c r="H86" s="224"/>
      <c r="I86" s="224"/>
      <c r="J86" s="224"/>
      <c r="K86" s="227">
        <v>7976</v>
      </c>
      <c r="L86" s="228"/>
      <c r="M86" s="110"/>
      <c r="N86" s="108"/>
      <c r="O86" s="108"/>
      <c r="P86" s="108"/>
      <c r="Q86" s="67" t="s">
        <v>147</v>
      </c>
      <c r="R86" s="68"/>
      <c r="S86" s="68"/>
      <c r="T86" s="67">
        <f t="shared" ref="T86:T89" si="39">SUM(H86:Q86)</f>
        <v>7976</v>
      </c>
      <c r="U86" s="67"/>
      <c r="V86" s="67">
        <f>SUM(Q86:S86)</f>
        <v>0</v>
      </c>
      <c r="W86" s="67"/>
    </row>
    <row r="87" spans="1:23" ht="17.25" customHeight="1" outlineLevel="2">
      <c r="A87" s="48"/>
      <c r="B87" s="58"/>
      <c r="C87" s="59"/>
      <c r="D87" s="59"/>
      <c r="E87" s="60"/>
      <c r="F87" s="60"/>
      <c r="G87" s="61" t="s">
        <v>33</v>
      </c>
      <c r="H87" s="62"/>
      <c r="I87" s="63"/>
      <c r="J87" s="64"/>
      <c r="K87" s="206"/>
      <c r="L87" s="209"/>
      <c r="M87" s="69">
        <v>705.36</v>
      </c>
      <c r="N87" s="287">
        <v>435</v>
      </c>
      <c r="O87" s="287">
        <v>1022</v>
      </c>
      <c r="P87" s="288"/>
      <c r="Q87" s="288"/>
      <c r="R87" s="287">
        <v>1000</v>
      </c>
      <c r="S87" s="287">
        <v>1000</v>
      </c>
      <c r="T87" s="67">
        <f t="shared" si="39"/>
        <v>2162.36</v>
      </c>
      <c r="U87" s="67"/>
      <c r="V87" s="67">
        <f t="shared" ref="V87:V89" si="40">SUM(R87:S87)</f>
        <v>2000</v>
      </c>
      <c r="W87" s="67"/>
    </row>
    <row r="88" spans="1:23" ht="17.25" customHeight="1" outlineLevel="2">
      <c r="A88" s="48"/>
      <c r="B88" s="58"/>
      <c r="C88" s="59"/>
      <c r="D88" s="59"/>
      <c r="E88" s="60"/>
      <c r="F88" s="60"/>
      <c r="G88" s="61" t="s">
        <v>34</v>
      </c>
      <c r="H88" s="69"/>
      <c r="I88" s="63"/>
      <c r="J88" s="241">
        <v>1023</v>
      </c>
      <c r="K88" s="206"/>
      <c r="L88" s="210"/>
      <c r="M88" s="92"/>
      <c r="N88" s="93"/>
      <c r="O88" s="242"/>
      <c r="P88" s="242"/>
      <c r="Q88" s="67"/>
      <c r="R88" s="68"/>
      <c r="S88" s="68"/>
      <c r="T88" s="67">
        <f t="shared" si="39"/>
        <v>1023</v>
      </c>
      <c r="U88" s="67"/>
      <c r="V88" s="67">
        <f t="shared" si="40"/>
        <v>0</v>
      </c>
      <c r="W88" s="67"/>
    </row>
    <row r="89" spans="1:23" ht="17.25" customHeight="1" outlineLevel="2">
      <c r="A89" s="48"/>
      <c r="B89" s="58"/>
      <c r="C89" s="59"/>
      <c r="D89" s="59"/>
      <c r="E89" s="60"/>
      <c r="F89" s="60"/>
      <c r="G89" s="61" t="s">
        <v>35</v>
      </c>
      <c r="H89" s="69">
        <v>1315</v>
      </c>
      <c r="I89" s="69">
        <v>730</v>
      </c>
      <c r="J89" s="149">
        <v>1788</v>
      </c>
      <c r="K89" s="206"/>
      <c r="L89" s="289">
        <v>675</v>
      </c>
      <c r="M89" s="290">
        <f>291+1605</f>
        <v>1896</v>
      </c>
      <c r="N89" s="291">
        <v>787</v>
      </c>
      <c r="O89" s="242"/>
      <c r="P89" s="292">
        <v>286</v>
      </c>
      <c r="Q89" s="288">
        <v>1047.28</v>
      </c>
      <c r="R89" s="68"/>
      <c r="S89" s="68"/>
      <c r="T89" s="67">
        <f t="shared" si="39"/>
        <v>8524.2800000000007</v>
      </c>
      <c r="U89" s="67"/>
      <c r="V89" s="67">
        <f t="shared" si="40"/>
        <v>0</v>
      </c>
      <c r="W89" s="67"/>
    </row>
    <row r="90" spans="1:23" ht="17.25" customHeight="1" outlineLevel="2">
      <c r="A90" s="48"/>
      <c r="B90" s="58"/>
      <c r="C90" s="59"/>
      <c r="D90" s="59"/>
      <c r="E90" s="60"/>
      <c r="F90" s="60"/>
      <c r="G90" s="61" t="s">
        <v>36</v>
      </c>
      <c r="H90" s="62"/>
      <c r="I90" s="63"/>
      <c r="J90" s="149"/>
      <c r="K90" s="206"/>
      <c r="L90" s="209"/>
      <c r="M90" s="69"/>
      <c r="N90" s="67"/>
      <c r="O90" s="67"/>
      <c r="P90" s="67"/>
      <c r="Q90" s="67"/>
      <c r="R90" s="68"/>
      <c r="S90" s="68"/>
      <c r="T90" s="67">
        <f>SUM(H90:O90)</f>
        <v>0</v>
      </c>
      <c r="U90" s="67"/>
      <c r="V90" s="67">
        <f t="shared" ref="V90:V91" si="41">SUM(Q90:S90)</f>
        <v>0</v>
      </c>
      <c r="W90" s="67">
        <f>SUM(L90:S90)</f>
        <v>0</v>
      </c>
    </row>
    <row r="91" spans="1:23" ht="17.25" customHeight="1" outlineLevel="2">
      <c r="A91" s="48"/>
      <c r="B91" s="58"/>
      <c r="C91" s="59"/>
      <c r="D91" s="59"/>
      <c r="E91" s="60"/>
      <c r="F91" s="60"/>
      <c r="G91" s="61" t="s">
        <v>37</v>
      </c>
      <c r="H91" s="62"/>
      <c r="I91" s="63"/>
      <c r="J91" s="93">
        <v>103</v>
      </c>
      <c r="K91" s="93">
        <v>201</v>
      </c>
      <c r="M91" s="209">
        <v>199</v>
      </c>
      <c r="N91" s="67">
        <f>100+169</f>
        <v>269</v>
      </c>
      <c r="O91" s="67"/>
      <c r="P91" s="67"/>
      <c r="Q91" s="67"/>
      <c r="R91" s="68"/>
      <c r="S91" s="68"/>
      <c r="T91" s="67">
        <f>SUM(H91:Q91)</f>
        <v>772</v>
      </c>
      <c r="U91" s="67"/>
      <c r="V91" s="67">
        <f t="shared" si="41"/>
        <v>0</v>
      </c>
      <c r="W91" s="67"/>
    </row>
    <row r="92" spans="1:23" ht="21" customHeight="1">
      <c r="A92" s="19"/>
      <c r="B92" s="39">
        <v>4</v>
      </c>
      <c r="C92" s="40" t="s">
        <v>54</v>
      </c>
      <c r="D92" s="41"/>
      <c r="E92" s="71"/>
      <c r="F92" s="71"/>
      <c r="G92" s="72"/>
      <c r="H92" s="111"/>
      <c r="I92" s="112"/>
      <c r="J92" s="113"/>
      <c r="K92" s="230"/>
      <c r="L92" s="231"/>
      <c r="M92" s="111"/>
      <c r="N92" s="111"/>
      <c r="O92" s="111"/>
      <c r="P92" s="111"/>
      <c r="Q92" s="111"/>
      <c r="R92" s="111"/>
      <c r="S92" s="111"/>
      <c r="T92" s="115">
        <f t="shared" ref="T92:W92" si="42">T93+T100+T107</f>
        <v>65009.778694007146</v>
      </c>
      <c r="U92" s="115">
        <f t="shared" si="42"/>
        <v>0</v>
      </c>
      <c r="V92" s="115">
        <f t="shared" si="42"/>
        <v>10960</v>
      </c>
      <c r="W92" s="115">
        <f t="shared" si="42"/>
        <v>0</v>
      </c>
    </row>
    <row r="93" spans="1:23" ht="17.25" customHeight="1" outlineLevel="1" collapsed="1">
      <c r="A93" s="48"/>
      <c r="B93" s="49">
        <v>4.0999999999999996</v>
      </c>
      <c r="C93" s="339" t="s">
        <v>55</v>
      </c>
      <c r="D93" s="340"/>
      <c r="E93" s="50">
        <v>45717</v>
      </c>
      <c r="F93" s="50">
        <v>45807</v>
      </c>
      <c r="G93" s="51"/>
      <c r="H93" s="150"/>
      <c r="I93" s="151"/>
      <c r="J93" s="152"/>
      <c r="K93" s="156"/>
      <c r="L93" s="244"/>
      <c r="M93" s="154"/>
      <c r="N93" s="151"/>
      <c r="O93" s="151"/>
      <c r="P93" s="151"/>
      <c r="Q93" s="151"/>
      <c r="R93" s="151"/>
      <c r="S93" s="151"/>
      <c r="T93" s="142">
        <f t="shared" ref="T93:W93" si="43">SUM(T94:T99)</f>
        <v>36305.208694007146</v>
      </c>
      <c r="U93" s="155">
        <f t="shared" si="43"/>
        <v>0</v>
      </c>
      <c r="V93" s="155">
        <f t="shared" si="43"/>
        <v>0</v>
      </c>
      <c r="W93" s="155">
        <f t="shared" si="43"/>
        <v>0</v>
      </c>
    </row>
    <row r="94" spans="1:23" ht="17.25" hidden="1" customHeight="1" outlineLevel="2">
      <c r="A94" s="48"/>
      <c r="B94" s="58"/>
      <c r="C94" s="59"/>
      <c r="D94" s="59"/>
      <c r="E94" s="60"/>
      <c r="F94" s="60"/>
      <c r="G94" s="61" t="s">
        <v>32</v>
      </c>
      <c r="H94" s="69"/>
      <c r="I94" s="69"/>
      <c r="J94" s="224">
        <v>2338</v>
      </c>
      <c r="K94" s="227">
        <v>7864</v>
      </c>
      <c r="L94" s="209"/>
      <c r="M94" s="69"/>
      <c r="N94" s="69"/>
      <c r="O94" s="69"/>
      <c r="P94" s="69"/>
      <c r="Q94" s="69"/>
      <c r="R94" s="69"/>
      <c r="S94" s="69"/>
      <c r="T94" s="130">
        <f t="shared" ref="T94:T99" si="44">SUM(H94:M94)</f>
        <v>10202</v>
      </c>
      <c r="U94" s="130"/>
      <c r="V94" s="130">
        <f t="shared" ref="V94:V98" si="45">SUM(M94:S94)</f>
        <v>0</v>
      </c>
      <c r="W94" s="130"/>
    </row>
    <row r="95" spans="1:23" ht="17.25" hidden="1" customHeight="1" outlineLevel="2">
      <c r="A95" s="48"/>
      <c r="B95" s="58"/>
      <c r="C95" s="59"/>
      <c r="D95" s="59"/>
      <c r="E95" s="60"/>
      <c r="F95" s="60"/>
      <c r="G95" s="61" t="s">
        <v>33</v>
      </c>
      <c r="H95" s="69"/>
      <c r="I95" s="69"/>
      <c r="J95" s="149"/>
      <c r="K95" s="206">
        <v>2012</v>
      </c>
      <c r="L95" s="281">
        <v>2643</v>
      </c>
      <c r="M95" s="69"/>
      <c r="N95" s="69"/>
      <c r="O95" s="69"/>
      <c r="P95" s="69"/>
      <c r="Q95" s="69"/>
      <c r="R95" s="69"/>
      <c r="S95" s="69"/>
      <c r="T95" s="130">
        <f t="shared" si="44"/>
        <v>4655</v>
      </c>
      <c r="U95" s="130"/>
      <c r="V95" s="130">
        <f t="shared" si="45"/>
        <v>0</v>
      </c>
      <c r="W95" s="130"/>
    </row>
    <row r="96" spans="1:23" ht="17.25" hidden="1" customHeight="1" outlineLevel="2">
      <c r="A96" s="48"/>
      <c r="B96" s="58"/>
      <c r="C96" s="59"/>
      <c r="D96" s="59"/>
      <c r="E96" s="60"/>
      <c r="F96" s="60"/>
      <c r="G96" s="61" t="s">
        <v>34</v>
      </c>
      <c r="H96" s="69"/>
      <c r="I96" s="69"/>
      <c r="J96" s="149">
        <v>2168</v>
      </c>
      <c r="K96" s="206">
        <v>2992</v>
      </c>
      <c r="L96" s="209">
        <v>3497</v>
      </c>
      <c r="M96" s="69"/>
      <c r="N96" s="69"/>
      <c r="O96" s="69"/>
      <c r="P96" s="69"/>
      <c r="Q96" s="69"/>
      <c r="R96" s="69"/>
      <c r="S96" s="69"/>
      <c r="T96" s="130">
        <f t="shared" si="44"/>
        <v>8657</v>
      </c>
      <c r="U96" s="130"/>
      <c r="V96" s="130">
        <f t="shared" si="45"/>
        <v>0</v>
      </c>
      <c r="W96" s="130"/>
    </row>
    <row r="97" spans="1:23" ht="17.25" hidden="1" customHeight="1" outlineLevel="2">
      <c r="A97" s="48"/>
      <c r="B97" s="58"/>
      <c r="C97" s="59"/>
      <c r="D97" s="59"/>
      <c r="E97" s="60"/>
      <c r="F97" s="60"/>
      <c r="G97" s="61" t="s">
        <v>35</v>
      </c>
      <c r="H97" s="69"/>
      <c r="I97" s="69"/>
      <c r="J97" s="149">
        <v>4794.3839699769405</v>
      </c>
      <c r="K97" s="206">
        <v>4406.8247240302071</v>
      </c>
      <c r="L97" s="209">
        <v>3590</v>
      </c>
      <c r="M97" s="69"/>
      <c r="N97" s="69"/>
      <c r="O97" s="69"/>
      <c r="P97" s="69"/>
      <c r="Q97" s="69"/>
      <c r="R97" s="69"/>
      <c r="S97" s="69"/>
      <c r="T97" s="130">
        <f t="shared" si="44"/>
        <v>12791.208694007148</v>
      </c>
      <c r="U97" s="130"/>
      <c r="V97" s="130">
        <f t="shared" si="45"/>
        <v>0</v>
      </c>
      <c r="W97" s="130"/>
    </row>
    <row r="98" spans="1:23" ht="17.25" hidden="1" customHeight="1" outlineLevel="2">
      <c r="A98" s="48"/>
      <c r="B98" s="58"/>
      <c r="C98" s="59"/>
      <c r="D98" s="59"/>
      <c r="E98" s="60"/>
      <c r="F98" s="60"/>
      <c r="G98" s="61" t="s">
        <v>36</v>
      </c>
      <c r="H98" s="69"/>
      <c r="I98" s="69"/>
      <c r="J98" s="149"/>
      <c r="K98" s="206"/>
      <c r="L98" s="209"/>
      <c r="M98" s="69"/>
      <c r="N98" s="69"/>
      <c r="O98" s="69"/>
      <c r="P98" s="69"/>
      <c r="Q98" s="69"/>
      <c r="R98" s="69"/>
      <c r="S98" s="69"/>
      <c r="T98" s="130">
        <f t="shared" si="44"/>
        <v>0</v>
      </c>
      <c r="U98" s="130"/>
      <c r="V98" s="130">
        <f t="shared" si="45"/>
        <v>0</v>
      </c>
      <c r="W98" s="130"/>
    </row>
    <row r="99" spans="1:23" ht="17.25" hidden="1" customHeight="1" outlineLevel="2">
      <c r="A99" s="48"/>
      <c r="B99" s="58"/>
      <c r="C99" s="59"/>
      <c r="D99" s="59"/>
      <c r="E99" s="60"/>
      <c r="F99" s="60"/>
      <c r="G99" s="61" t="s">
        <v>37</v>
      </c>
      <c r="H99" s="69"/>
      <c r="I99" s="69"/>
      <c r="J99" s="149"/>
      <c r="K99" s="206"/>
      <c r="L99" s="209"/>
      <c r="M99" s="69"/>
      <c r="N99" s="69"/>
      <c r="O99" s="69"/>
      <c r="P99" s="69"/>
      <c r="Q99" s="69"/>
      <c r="R99" s="69"/>
      <c r="S99" s="69"/>
      <c r="T99" s="130">
        <f t="shared" si="44"/>
        <v>0</v>
      </c>
      <c r="U99" s="130"/>
      <c r="V99" s="130">
        <f>SUM(L99:S99)</f>
        <v>0</v>
      </c>
      <c r="W99" s="130"/>
    </row>
    <row r="100" spans="1:23" ht="17.25" customHeight="1" outlineLevel="1" collapsed="1">
      <c r="A100" s="48"/>
      <c r="B100" s="49">
        <v>4.2</v>
      </c>
      <c r="C100" s="339" t="s">
        <v>56</v>
      </c>
      <c r="D100" s="340"/>
      <c r="E100" s="50"/>
      <c r="F100" s="50"/>
      <c r="G100" s="51"/>
      <c r="H100" s="150"/>
      <c r="I100" s="151"/>
      <c r="J100" s="152"/>
      <c r="K100" s="156"/>
      <c r="L100" s="244"/>
      <c r="M100" s="154"/>
      <c r="N100" s="151"/>
      <c r="O100" s="151"/>
      <c r="P100" s="151"/>
      <c r="Q100" s="151"/>
      <c r="R100" s="118"/>
      <c r="S100" s="118"/>
      <c r="T100" s="142">
        <f t="shared" ref="T100:W100" si="46">SUM(T101:T106)</f>
        <v>0</v>
      </c>
      <c r="U100" s="142">
        <f t="shared" si="46"/>
        <v>0</v>
      </c>
      <c r="V100" s="142">
        <f t="shared" si="46"/>
        <v>0</v>
      </c>
      <c r="W100" s="142">
        <f t="shared" si="46"/>
        <v>0</v>
      </c>
    </row>
    <row r="101" spans="1:23" ht="17.25" hidden="1" customHeight="1" outlineLevel="2">
      <c r="A101" s="48"/>
      <c r="B101" s="58"/>
      <c r="C101" s="59"/>
      <c r="D101" s="59"/>
      <c r="E101" s="60"/>
      <c r="F101" s="60"/>
      <c r="G101" s="61" t="s">
        <v>32</v>
      </c>
      <c r="H101" s="69"/>
      <c r="I101" s="69"/>
      <c r="J101" s="149"/>
      <c r="K101" s="206"/>
      <c r="L101" s="209"/>
      <c r="M101" s="69"/>
      <c r="N101" s="69"/>
      <c r="O101" s="69"/>
      <c r="P101" s="69"/>
      <c r="Q101" s="245"/>
      <c r="R101" s="245"/>
      <c r="S101" s="69"/>
      <c r="T101" s="130">
        <f t="shared" ref="T101:T106" si="47">SUM(H101:K101)</f>
        <v>0</v>
      </c>
      <c r="U101" s="69"/>
      <c r="V101" s="130">
        <f t="shared" ref="V101:V104" si="48">SUM(M101:S101)</f>
        <v>0</v>
      </c>
      <c r="W101" s="69"/>
    </row>
    <row r="102" spans="1:23" ht="17.25" hidden="1" customHeight="1" outlineLevel="2">
      <c r="A102" s="48"/>
      <c r="B102" s="58"/>
      <c r="C102" s="59"/>
      <c r="D102" s="59"/>
      <c r="E102" s="60"/>
      <c r="F102" s="60"/>
      <c r="G102" s="61" t="s">
        <v>33</v>
      </c>
      <c r="H102" s="69"/>
      <c r="I102" s="69"/>
      <c r="J102" s="149"/>
      <c r="K102" s="206"/>
      <c r="L102" s="209"/>
      <c r="M102" s="69"/>
      <c r="N102" s="69"/>
      <c r="O102" s="69"/>
      <c r="P102" s="69"/>
      <c r="Q102" s="245"/>
      <c r="R102" s="245"/>
      <c r="S102" s="69"/>
      <c r="T102" s="130">
        <f t="shared" si="47"/>
        <v>0</v>
      </c>
      <c r="U102" s="69"/>
      <c r="V102" s="130">
        <f t="shared" si="48"/>
        <v>0</v>
      </c>
      <c r="W102" s="69"/>
    </row>
    <row r="103" spans="1:23" ht="17.25" hidden="1" customHeight="1" outlineLevel="2">
      <c r="A103" s="48"/>
      <c r="B103" s="58"/>
      <c r="C103" s="59"/>
      <c r="D103" s="59"/>
      <c r="E103" s="60"/>
      <c r="F103" s="60"/>
      <c r="G103" s="61" t="s">
        <v>34</v>
      </c>
      <c r="H103" s="69"/>
      <c r="I103" s="69"/>
      <c r="J103" s="149"/>
      <c r="K103" s="206"/>
      <c r="L103" s="209"/>
      <c r="M103" s="69"/>
      <c r="N103" s="69"/>
      <c r="O103" s="69"/>
      <c r="P103" s="69"/>
      <c r="Q103" s="246"/>
      <c r="R103" s="246"/>
      <c r="S103" s="69"/>
      <c r="T103" s="130">
        <f t="shared" si="47"/>
        <v>0</v>
      </c>
      <c r="U103" s="69"/>
      <c r="V103" s="130">
        <f t="shared" si="48"/>
        <v>0</v>
      </c>
      <c r="W103" s="69"/>
    </row>
    <row r="104" spans="1:23" ht="17.25" hidden="1" customHeight="1" outlineLevel="2">
      <c r="A104" s="48"/>
      <c r="B104" s="58"/>
      <c r="C104" s="59"/>
      <c r="D104" s="59"/>
      <c r="E104" s="60"/>
      <c r="F104" s="60"/>
      <c r="G104" s="61" t="s">
        <v>35</v>
      </c>
      <c r="H104" s="69"/>
      <c r="I104" s="69"/>
      <c r="J104" s="149"/>
      <c r="K104" s="206"/>
      <c r="L104" s="209"/>
      <c r="M104" s="69"/>
      <c r="N104" s="69"/>
      <c r="O104" s="69"/>
      <c r="P104" s="69"/>
      <c r="Q104" s="246"/>
      <c r="R104" s="246"/>
      <c r="S104" s="69"/>
      <c r="T104" s="130">
        <f t="shared" si="47"/>
        <v>0</v>
      </c>
      <c r="U104" s="69"/>
      <c r="V104" s="130">
        <f t="shared" si="48"/>
        <v>0</v>
      </c>
      <c r="W104" s="69"/>
    </row>
    <row r="105" spans="1:23" ht="17.25" hidden="1" customHeight="1" outlineLevel="2">
      <c r="A105" s="48"/>
      <c r="B105" s="58"/>
      <c r="C105" s="59"/>
      <c r="D105" s="59"/>
      <c r="E105" s="60"/>
      <c r="F105" s="60"/>
      <c r="G105" s="61" t="s">
        <v>36</v>
      </c>
      <c r="H105" s="69"/>
      <c r="I105" s="69"/>
      <c r="J105" s="149"/>
      <c r="K105" s="206"/>
      <c r="L105" s="209"/>
      <c r="M105" s="69"/>
      <c r="N105" s="69"/>
      <c r="O105" s="69"/>
      <c r="P105" s="69"/>
      <c r="Q105" s="69"/>
      <c r="R105" s="69"/>
      <c r="S105" s="69"/>
      <c r="T105" s="130">
        <f t="shared" si="47"/>
        <v>0</v>
      </c>
      <c r="U105" s="69"/>
      <c r="V105" s="130">
        <f t="shared" ref="V105:V106" si="49">SUM(L105:S105)</f>
        <v>0</v>
      </c>
      <c r="W105" s="69"/>
    </row>
    <row r="106" spans="1:23" ht="17.25" hidden="1" customHeight="1" outlineLevel="2">
      <c r="A106" s="48"/>
      <c r="B106" s="58"/>
      <c r="C106" s="59"/>
      <c r="D106" s="59"/>
      <c r="E106" s="60"/>
      <c r="F106" s="60"/>
      <c r="G106" s="61" t="s">
        <v>37</v>
      </c>
      <c r="H106" s="69"/>
      <c r="I106" s="69"/>
      <c r="J106" s="149"/>
      <c r="K106" s="206"/>
      <c r="L106" s="209"/>
      <c r="M106" s="69"/>
      <c r="N106" s="69"/>
      <c r="O106" s="69"/>
      <c r="P106" s="69"/>
      <c r="Q106" s="69"/>
      <c r="R106" s="69"/>
      <c r="S106" s="69"/>
      <c r="T106" s="130">
        <f t="shared" si="47"/>
        <v>0</v>
      </c>
      <c r="U106" s="69"/>
      <c r="V106" s="130">
        <f t="shared" si="49"/>
        <v>0</v>
      </c>
      <c r="W106" s="69"/>
    </row>
    <row r="107" spans="1:23" ht="17.25" customHeight="1" outlineLevel="1">
      <c r="A107" s="48"/>
      <c r="B107" s="49">
        <v>4.3</v>
      </c>
      <c r="C107" s="332" t="s">
        <v>58</v>
      </c>
      <c r="D107" s="330"/>
      <c r="E107" s="50">
        <v>45819</v>
      </c>
      <c r="F107" s="50">
        <v>45961</v>
      </c>
      <c r="G107" s="135"/>
      <c r="H107" s="136"/>
      <c r="I107" s="137"/>
      <c r="J107" s="156"/>
      <c r="K107" s="156"/>
      <c r="L107" s="244"/>
      <c r="M107" s="158"/>
      <c r="N107" s="137"/>
      <c r="O107" s="137"/>
      <c r="P107" s="137"/>
      <c r="Q107" s="137"/>
      <c r="R107" s="141"/>
      <c r="S107" s="141"/>
      <c r="T107" s="142">
        <f t="shared" ref="T107:W107" si="50">SUM(T108:T113)</f>
        <v>28704.57</v>
      </c>
      <c r="U107" s="142">
        <f t="shared" si="50"/>
        <v>0</v>
      </c>
      <c r="V107" s="142">
        <f t="shared" si="50"/>
        <v>10960</v>
      </c>
      <c r="W107" s="142">
        <f t="shared" si="50"/>
        <v>0</v>
      </c>
    </row>
    <row r="108" spans="1:23" ht="17.25" customHeight="1" outlineLevel="2">
      <c r="A108" s="48"/>
      <c r="B108" s="58"/>
      <c r="C108" s="59"/>
      <c r="D108" s="59"/>
      <c r="E108" s="60"/>
      <c r="F108" s="60"/>
      <c r="G108" s="61" t="s">
        <v>32</v>
      </c>
      <c r="H108" s="69"/>
      <c r="I108" s="69"/>
      <c r="J108" s="149"/>
      <c r="K108" s="206"/>
      <c r="L108" s="209"/>
      <c r="M108" s="209"/>
      <c r="N108" s="209"/>
      <c r="O108" s="209"/>
      <c r="P108" s="69"/>
      <c r="Q108" s="110">
        <v>4090</v>
      </c>
      <c r="R108" s="110">
        <v>3956</v>
      </c>
      <c r="S108" s="110">
        <v>2914</v>
      </c>
      <c r="T108" s="130">
        <f t="shared" ref="T108:T109" si="51">SUM(H108:P108)</f>
        <v>0</v>
      </c>
      <c r="U108" s="69"/>
      <c r="V108" s="69">
        <f t="shared" ref="V108:V109" si="52">SUM(Q108:S108)</f>
        <v>10960</v>
      </c>
      <c r="W108" s="69"/>
    </row>
    <row r="109" spans="1:23" ht="17.25" customHeight="1" outlineLevel="2">
      <c r="A109" s="48"/>
      <c r="B109" s="58"/>
      <c r="C109" s="59"/>
      <c r="D109" s="59"/>
      <c r="E109" s="60"/>
      <c r="F109" s="60"/>
      <c r="G109" s="61" t="s">
        <v>33</v>
      </c>
      <c r="H109" s="69"/>
      <c r="I109" s="69"/>
      <c r="J109" s="149"/>
      <c r="K109" s="206"/>
      <c r="L109" s="209"/>
      <c r="M109" s="236">
        <v>797</v>
      </c>
      <c r="N109" s="293">
        <v>3671</v>
      </c>
      <c r="O109" s="236">
        <v>5045</v>
      </c>
      <c r="P109" s="236">
        <v>5145</v>
      </c>
      <c r="Q109" s="69"/>
      <c r="R109" s="69"/>
      <c r="S109" s="69"/>
      <c r="T109" s="130">
        <f t="shared" si="51"/>
        <v>14658</v>
      </c>
      <c r="U109" s="69"/>
      <c r="V109" s="69">
        <f t="shared" si="52"/>
        <v>0</v>
      </c>
      <c r="W109" s="69"/>
    </row>
    <row r="110" spans="1:23" ht="17.25" customHeight="1" outlineLevel="2">
      <c r="A110" s="48"/>
      <c r="B110" s="58"/>
      <c r="C110" s="59"/>
      <c r="D110" s="59"/>
      <c r="E110" s="60"/>
      <c r="F110" s="60"/>
      <c r="G110" s="61" t="s">
        <v>34</v>
      </c>
      <c r="H110" s="69">
        <v>767</v>
      </c>
      <c r="I110" s="69">
        <v>767</v>
      </c>
      <c r="J110" s="149"/>
      <c r="K110" s="206"/>
      <c r="L110" s="209"/>
      <c r="M110" s="236">
        <v>1075</v>
      </c>
      <c r="N110" s="294">
        <v>942</v>
      </c>
      <c r="O110" s="236">
        <v>803.43</v>
      </c>
      <c r="P110" s="236">
        <v>661.91</v>
      </c>
      <c r="Q110" s="69">
        <v>47.23</v>
      </c>
      <c r="R110" s="69"/>
      <c r="S110" s="69"/>
      <c r="T110" s="130">
        <f>SUM(H110:Q110)</f>
        <v>5063.57</v>
      </c>
      <c r="U110" s="69"/>
      <c r="V110" s="69">
        <f>SUM(R110:S110)</f>
        <v>0</v>
      </c>
      <c r="W110" s="69"/>
    </row>
    <row r="111" spans="1:23" ht="17.25" customHeight="1" outlineLevel="2">
      <c r="A111" s="48"/>
      <c r="B111" s="58"/>
      <c r="C111" s="59"/>
      <c r="D111" s="59"/>
      <c r="E111" s="60"/>
      <c r="F111" s="60"/>
      <c r="G111" s="61" t="s">
        <v>35</v>
      </c>
      <c r="H111" s="69">
        <v>1769</v>
      </c>
      <c r="I111" s="69">
        <v>1021</v>
      </c>
      <c r="J111" s="149"/>
      <c r="K111" s="206"/>
      <c r="L111" s="209"/>
      <c r="M111" s="293">
        <v>550</v>
      </c>
      <c r="N111" s="293">
        <v>1117</v>
      </c>
      <c r="O111" s="236">
        <v>1243</v>
      </c>
      <c r="P111" s="236">
        <v>1179</v>
      </c>
      <c r="Q111" s="69"/>
      <c r="R111" s="69"/>
      <c r="S111" s="69"/>
      <c r="T111" s="130">
        <f t="shared" ref="T111:T113" si="53">SUM(H111:P111)</f>
        <v>6879</v>
      </c>
      <c r="U111" s="69"/>
      <c r="V111" s="69">
        <f t="shared" ref="V111:V112" si="54">SUM(Q111:S111)</f>
        <v>0</v>
      </c>
      <c r="W111" s="69"/>
    </row>
    <row r="112" spans="1:23" ht="17.25" customHeight="1" outlineLevel="2">
      <c r="A112" s="48"/>
      <c r="B112" s="58"/>
      <c r="C112" s="59"/>
      <c r="D112" s="59"/>
      <c r="E112" s="60"/>
      <c r="F112" s="60"/>
      <c r="G112" s="61" t="s">
        <v>36</v>
      </c>
      <c r="H112" s="69"/>
      <c r="I112" s="69"/>
      <c r="J112" s="149"/>
      <c r="K112" s="206"/>
      <c r="L112" s="209"/>
      <c r="M112" s="69"/>
      <c r="N112" s="69"/>
      <c r="O112" s="69"/>
      <c r="P112" s="69"/>
      <c r="Q112" s="69"/>
      <c r="R112" s="69"/>
      <c r="S112" s="69"/>
      <c r="T112" s="130">
        <f t="shared" si="53"/>
        <v>0</v>
      </c>
      <c r="U112" s="69"/>
      <c r="V112" s="69">
        <f t="shared" si="54"/>
        <v>0</v>
      </c>
      <c r="W112" s="69"/>
    </row>
    <row r="113" spans="1:23" ht="17.25" customHeight="1" outlineLevel="2">
      <c r="A113" s="48"/>
      <c r="B113" s="58"/>
      <c r="C113" s="59"/>
      <c r="D113" s="59"/>
      <c r="E113" s="60"/>
      <c r="F113" s="60"/>
      <c r="G113" s="61" t="s">
        <v>59</v>
      </c>
      <c r="H113" s="69">
        <v>2104</v>
      </c>
      <c r="I113" s="69"/>
      <c r="J113" s="149"/>
      <c r="K113" s="206"/>
      <c r="L113" s="209"/>
      <c r="M113" s="69"/>
      <c r="N113" s="69"/>
      <c r="O113" s="69"/>
      <c r="P113" s="69"/>
      <c r="Q113" s="69"/>
      <c r="R113" s="69"/>
      <c r="S113" s="69"/>
      <c r="T113" s="130">
        <f t="shared" si="53"/>
        <v>2104</v>
      </c>
      <c r="U113" s="69"/>
      <c r="V113" s="69">
        <f>SUM(P113:S113)</f>
        <v>0</v>
      </c>
      <c r="W113" s="69"/>
    </row>
    <row r="114" spans="1:23" ht="21" customHeight="1">
      <c r="A114" s="19"/>
      <c r="B114" s="39">
        <v>5</v>
      </c>
      <c r="C114" s="40" t="s">
        <v>60</v>
      </c>
      <c r="D114" s="41"/>
      <c r="E114" s="71"/>
      <c r="F114" s="71"/>
      <c r="G114" s="72"/>
      <c r="H114" s="111"/>
      <c r="I114" s="112"/>
      <c r="J114" s="113"/>
      <c r="K114" s="230"/>
      <c r="L114" s="231"/>
      <c r="M114" s="111"/>
      <c r="N114" s="111"/>
      <c r="O114" s="111"/>
      <c r="P114" s="111"/>
      <c r="Q114" s="111"/>
      <c r="R114" s="111"/>
      <c r="S114" s="111"/>
      <c r="T114" s="115">
        <f t="shared" ref="T114:W114" si="55">T115+T122+T129</f>
        <v>40636.446522141501</v>
      </c>
      <c r="U114" s="115">
        <f t="shared" si="55"/>
        <v>31684.174580612835</v>
      </c>
      <c r="V114" s="115">
        <f t="shared" si="55"/>
        <v>28448</v>
      </c>
      <c r="W114" s="115">
        <f t="shared" si="55"/>
        <v>0</v>
      </c>
    </row>
    <row r="115" spans="1:23" ht="15.75" customHeight="1" outlineLevel="1" collapsed="1">
      <c r="A115" s="48"/>
      <c r="B115" s="49">
        <v>5.0999999999999996</v>
      </c>
      <c r="C115" s="339" t="s">
        <v>61</v>
      </c>
      <c r="D115" s="340"/>
      <c r="E115" s="50">
        <v>45689</v>
      </c>
      <c r="F115" s="50">
        <v>45746</v>
      </c>
      <c r="G115" s="135"/>
      <c r="H115" s="150"/>
      <c r="I115" s="151"/>
      <c r="J115" s="119"/>
      <c r="K115" s="138"/>
      <c r="L115" s="232"/>
      <c r="M115" s="121"/>
      <c r="N115" s="118"/>
      <c r="O115" s="118"/>
      <c r="P115" s="118"/>
      <c r="Q115" s="118"/>
      <c r="R115" s="118"/>
      <c r="S115" s="118"/>
      <c r="T115" s="91">
        <f t="shared" ref="T115:W115" si="56">SUM(T116:T121)</f>
        <v>33027.866522141499</v>
      </c>
      <c r="U115" s="91">
        <f t="shared" si="56"/>
        <v>0</v>
      </c>
      <c r="V115" s="91">
        <f t="shared" si="56"/>
        <v>0</v>
      </c>
      <c r="W115" s="91">
        <f t="shared" si="56"/>
        <v>0</v>
      </c>
    </row>
    <row r="116" spans="1:23" ht="17.25" hidden="1" customHeight="1" outlineLevel="2">
      <c r="A116" s="48"/>
      <c r="B116" s="58"/>
      <c r="C116" s="59"/>
      <c r="D116" s="59"/>
      <c r="E116" s="60"/>
      <c r="F116" s="60"/>
      <c r="G116" s="61" t="s">
        <v>32</v>
      </c>
      <c r="H116" s="69"/>
      <c r="I116" s="110">
        <v>8838</v>
      </c>
      <c r="J116" s="224">
        <v>7619</v>
      </c>
      <c r="K116" s="206"/>
      <c r="L116" s="209"/>
      <c r="M116" s="69"/>
      <c r="N116" s="69"/>
      <c r="O116" s="69"/>
      <c r="P116" s="69"/>
      <c r="Q116" s="69"/>
      <c r="R116" s="69"/>
      <c r="S116" s="69"/>
      <c r="T116" s="130">
        <f t="shared" ref="T116:T121" si="57">SUM(H116:K116)</f>
        <v>16457</v>
      </c>
      <c r="U116" s="69"/>
      <c r="V116" s="69">
        <f t="shared" ref="V116:V121" si="58">SUM(L116:S116)</f>
        <v>0</v>
      </c>
      <c r="W116" s="69"/>
    </row>
    <row r="117" spans="1:23" ht="17.25" hidden="1" customHeight="1" outlineLevel="2">
      <c r="A117" s="48"/>
      <c r="B117" s="58"/>
      <c r="C117" s="59"/>
      <c r="D117" s="59"/>
      <c r="E117" s="60"/>
      <c r="F117" s="60"/>
      <c r="G117" s="61" t="s">
        <v>33</v>
      </c>
      <c r="H117" s="69"/>
      <c r="I117" s="69"/>
      <c r="J117" s="149"/>
      <c r="K117" s="206"/>
      <c r="L117" s="209"/>
      <c r="M117" s="69"/>
      <c r="N117" s="69"/>
      <c r="O117" s="69"/>
      <c r="P117" s="69"/>
      <c r="Q117" s="69"/>
      <c r="R117" s="69"/>
      <c r="S117" s="69"/>
      <c r="T117" s="130">
        <f t="shared" si="57"/>
        <v>0</v>
      </c>
      <c r="U117" s="69"/>
      <c r="V117" s="69">
        <f t="shared" si="58"/>
        <v>0</v>
      </c>
      <c r="W117" s="69"/>
    </row>
    <row r="118" spans="1:23" ht="17.25" hidden="1" customHeight="1" outlineLevel="2">
      <c r="A118" s="48"/>
      <c r="B118" s="58"/>
      <c r="C118" s="59"/>
      <c r="D118" s="59"/>
      <c r="E118" s="60"/>
      <c r="F118" s="60"/>
      <c r="G118" s="61" t="s">
        <v>34</v>
      </c>
      <c r="H118" s="69"/>
      <c r="I118" s="69">
        <v>2772</v>
      </c>
      <c r="J118" s="149">
        <v>3617</v>
      </c>
      <c r="K118" s="206"/>
      <c r="L118" s="209"/>
      <c r="M118" s="69"/>
      <c r="N118" s="69"/>
      <c r="O118" s="69"/>
      <c r="P118" s="69"/>
      <c r="Q118" s="69"/>
      <c r="R118" s="69"/>
      <c r="S118" s="69"/>
      <c r="T118" s="130">
        <f t="shared" si="57"/>
        <v>6389</v>
      </c>
      <c r="U118" s="69"/>
      <c r="V118" s="69">
        <f t="shared" si="58"/>
        <v>0</v>
      </c>
      <c r="W118" s="69"/>
    </row>
    <row r="119" spans="1:23" ht="17.25" hidden="1" customHeight="1" outlineLevel="2">
      <c r="A119" s="48"/>
      <c r="B119" s="58"/>
      <c r="C119" s="59"/>
      <c r="D119" s="59"/>
      <c r="E119" s="60"/>
      <c r="F119" s="60"/>
      <c r="G119" s="61" t="s">
        <v>35</v>
      </c>
      <c r="H119" s="69"/>
      <c r="I119" s="69">
        <v>5101.6703905758677</v>
      </c>
      <c r="J119" s="149">
        <v>5080.1961315656272</v>
      </c>
      <c r="K119" s="206"/>
      <c r="L119" s="209"/>
      <c r="M119" s="69"/>
      <c r="N119" s="69"/>
      <c r="O119" s="69"/>
      <c r="P119" s="69"/>
      <c r="Q119" s="69"/>
      <c r="R119" s="69"/>
      <c r="S119" s="69"/>
      <c r="T119" s="130">
        <f t="shared" si="57"/>
        <v>10181.866522141496</v>
      </c>
      <c r="U119" s="69"/>
      <c r="V119" s="69">
        <f t="shared" si="58"/>
        <v>0</v>
      </c>
      <c r="W119" s="69"/>
    </row>
    <row r="120" spans="1:23" ht="17.25" hidden="1" customHeight="1" outlineLevel="2">
      <c r="A120" s="48"/>
      <c r="B120" s="58"/>
      <c r="C120" s="59"/>
      <c r="D120" s="59"/>
      <c r="E120" s="60"/>
      <c r="F120" s="60"/>
      <c r="G120" s="61" t="s">
        <v>36</v>
      </c>
      <c r="H120" s="69"/>
      <c r="I120" s="69"/>
      <c r="J120" s="149"/>
      <c r="K120" s="206"/>
      <c r="L120" s="209"/>
      <c r="M120" s="69"/>
      <c r="N120" s="69"/>
      <c r="O120" s="69"/>
      <c r="P120" s="69"/>
      <c r="Q120" s="69"/>
      <c r="R120" s="69"/>
      <c r="S120" s="69"/>
      <c r="T120" s="130">
        <f t="shared" si="57"/>
        <v>0</v>
      </c>
      <c r="U120" s="69"/>
      <c r="V120" s="69">
        <f t="shared" si="58"/>
        <v>0</v>
      </c>
      <c r="W120" s="69"/>
    </row>
    <row r="121" spans="1:23" ht="17.25" hidden="1" customHeight="1" outlineLevel="2">
      <c r="A121" s="48"/>
      <c r="B121" s="58"/>
      <c r="C121" s="59"/>
      <c r="D121" s="59"/>
      <c r="E121" s="60"/>
      <c r="F121" s="60"/>
      <c r="G121" s="61" t="s">
        <v>37</v>
      </c>
      <c r="H121" s="69"/>
      <c r="I121" s="69"/>
      <c r="J121" s="149"/>
      <c r="K121" s="206"/>
      <c r="L121" s="209"/>
      <c r="M121" s="69"/>
      <c r="N121" s="69"/>
      <c r="O121" s="69"/>
      <c r="P121" s="69"/>
      <c r="Q121" s="69"/>
      <c r="R121" s="69"/>
      <c r="S121" s="69"/>
      <c r="T121" s="130">
        <f t="shared" si="57"/>
        <v>0</v>
      </c>
      <c r="U121" s="69"/>
      <c r="V121" s="69">
        <f t="shared" si="58"/>
        <v>0</v>
      </c>
      <c r="W121" s="69"/>
    </row>
    <row r="122" spans="1:23" ht="15.75" customHeight="1" outlineLevel="1">
      <c r="A122" s="48"/>
      <c r="B122" s="49">
        <v>5.2</v>
      </c>
      <c r="C122" s="339" t="s">
        <v>62</v>
      </c>
      <c r="D122" s="340"/>
      <c r="E122" s="159">
        <v>45938</v>
      </c>
      <c r="F122" s="50">
        <v>45973</v>
      </c>
      <c r="G122" s="160"/>
      <c r="H122" s="136"/>
      <c r="I122" s="137"/>
      <c r="J122" s="138"/>
      <c r="K122" s="138"/>
      <c r="L122" s="232"/>
      <c r="M122" s="140"/>
      <c r="N122" s="141"/>
      <c r="O122" s="141"/>
      <c r="P122" s="141"/>
      <c r="Q122" s="141"/>
      <c r="R122" s="141"/>
      <c r="S122" s="141"/>
      <c r="T122" s="142">
        <f t="shared" ref="T122:W122" si="59">SUM(T123:T128)</f>
        <v>7608.58</v>
      </c>
      <c r="U122" s="142">
        <f t="shared" si="59"/>
        <v>0</v>
      </c>
      <c r="V122" s="142">
        <f t="shared" si="59"/>
        <v>28448</v>
      </c>
      <c r="W122" s="142">
        <f t="shared" si="59"/>
        <v>0</v>
      </c>
    </row>
    <row r="123" spans="1:23" ht="17.25" customHeight="1" outlineLevel="2">
      <c r="A123" s="48"/>
      <c r="B123" s="58"/>
      <c r="C123" s="59"/>
      <c r="D123" s="59"/>
      <c r="E123" s="60"/>
      <c r="F123" s="60"/>
      <c r="G123" s="61" t="s">
        <v>32</v>
      </c>
      <c r="H123" s="69"/>
      <c r="I123" s="69"/>
      <c r="J123" s="149"/>
      <c r="K123" s="206"/>
      <c r="L123" s="209"/>
      <c r="M123" s="69"/>
      <c r="N123" s="69"/>
      <c r="O123" s="69"/>
      <c r="P123" s="69"/>
      <c r="Q123" s="110">
        <v>13037</v>
      </c>
      <c r="R123" s="110">
        <v>12881</v>
      </c>
      <c r="S123" s="69"/>
      <c r="T123" s="130">
        <f>SUM(H123:O123)</f>
        <v>0</v>
      </c>
      <c r="U123" s="130">
        <f>SUM(H123:K123)</f>
        <v>0</v>
      </c>
      <c r="V123" s="69">
        <f t="shared" ref="V123:V124" si="60">SUM(O123:S123)</f>
        <v>25918</v>
      </c>
      <c r="W123" s="69"/>
    </row>
    <row r="124" spans="1:23" ht="17.25" customHeight="1" outlineLevel="2">
      <c r="A124" s="48"/>
      <c r="B124" s="58"/>
      <c r="C124" s="59"/>
      <c r="D124" s="59"/>
      <c r="E124" s="60"/>
      <c r="F124" s="60"/>
      <c r="G124" s="61" t="s">
        <v>33</v>
      </c>
      <c r="H124" s="69"/>
      <c r="I124" s="69"/>
      <c r="J124" s="149"/>
      <c r="K124" s="206"/>
      <c r="L124" s="209"/>
      <c r="M124" s="69"/>
      <c r="N124" s="69"/>
      <c r="O124" s="69"/>
      <c r="P124" s="69"/>
      <c r="Q124" s="69"/>
      <c r="R124" s="69"/>
      <c r="S124" s="69"/>
      <c r="T124" s="130">
        <f>SUM(H124:K124)</f>
        <v>0</v>
      </c>
      <c r="U124" s="69"/>
      <c r="V124" s="69">
        <f t="shared" si="60"/>
        <v>0</v>
      </c>
      <c r="W124" s="69"/>
    </row>
    <row r="125" spans="1:23" ht="17.25" customHeight="1" outlineLevel="2">
      <c r="A125" s="48"/>
      <c r="B125" s="58"/>
      <c r="C125" s="59"/>
      <c r="D125" s="59"/>
      <c r="E125" s="60"/>
      <c r="F125" s="60"/>
      <c r="G125" s="61" t="s">
        <v>34</v>
      </c>
      <c r="H125" s="69"/>
      <c r="I125" s="69"/>
      <c r="J125" s="149"/>
      <c r="K125" s="206"/>
      <c r="L125" s="209"/>
      <c r="M125" s="69"/>
      <c r="N125" s="69"/>
      <c r="O125" s="92"/>
      <c r="P125" s="92"/>
      <c r="Q125" s="295">
        <v>3193.78</v>
      </c>
      <c r="R125" s="92">
        <v>1557</v>
      </c>
      <c r="S125" s="69"/>
      <c r="T125" s="130">
        <f t="shared" ref="T125:T126" si="61">SUM(H125:Q125)</f>
        <v>3193.78</v>
      </c>
      <c r="U125" s="69"/>
      <c r="V125" s="69">
        <f t="shared" ref="V125:V126" si="62">SUM(R125:S125)</f>
        <v>1557</v>
      </c>
      <c r="W125" s="69"/>
    </row>
    <row r="126" spans="1:23" ht="17.25" customHeight="1" outlineLevel="2">
      <c r="A126" s="48"/>
      <c r="B126" s="58"/>
      <c r="C126" s="59"/>
      <c r="D126" s="59"/>
      <c r="E126" s="60"/>
      <c r="F126" s="60"/>
      <c r="G126" s="61" t="s">
        <v>168</v>
      </c>
      <c r="H126" s="69"/>
      <c r="I126" s="69"/>
      <c r="J126" s="149"/>
      <c r="K126" s="206"/>
      <c r="L126" s="209"/>
      <c r="M126" s="69"/>
      <c r="N126" s="69"/>
      <c r="O126" s="92"/>
      <c r="P126" s="92"/>
      <c r="Q126" s="295">
        <v>4414.8</v>
      </c>
      <c r="R126" s="92">
        <v>973</v>
      </c>
      <c r="S126" s="69"/>
      <c r="T126" s="130">
        <f t="shared" si="61"/>
        <v>4414.8</v>
      </c>
      <c r="U126" s="69"/>
      <c r="V126" s="69">
        <f t="shared" si="62"/>
        <v>973</v>
      </c>
      <c r="W126" s="69"/>
    </row>
    <row r="127" spans="1:23" ht="17.25" customHeight="1" outlineLevel="2">
      <c r="A127" s="48"/>
      <c r="B127" s="58"/>
      <c r="C127" s="59"/>
      <c r="D127" s="59"/>
      <c r="E127" s="60"/>
      <c r="F127" s="60"/>
      <c r="G127" s="61" t="s">
        <v>36</v>
      </c>
      <c r="H127" s="69"/>
      <c r="I127" s="69"/>
      <c r="J127" s="149"/>
      <c r="K127" s="206"/>
      <c r="L127" s="209"/>
      <c r="M127" s="69"/>
      <c r="N127" s="69"/>
      <c r="O127" s="69"/>
      <c r="P127" s="69"/>
      <c r="Q127" s="67"/>
      <c r="R127" s="67"/>
      <c r="S127" s="69"/>
      <c r="T127" s="130">
        <f t="shared" ref="T127:T128" si="63">SUM(H127:K127)</f>
        <v>0</v>
      </c>
      <c r="U127" s="69"/>
      <c r="V127" s="69">
        <f>SUM(O127:S127)</f>
        <v>0</v>
      </c>
      <c r="W127" s="69"/>
    </row>
    <row r="128" spans="1:23" ht="17.25" customHeight="1" outlineLevel="2">
      <c r="A128" s="48"/>
      <c r="B128" s="58"/>
      <c r="C128" s="59"/>
      <c r="D128" s="59"/>
      <c r="E128" s="60"/>
      <c r="F128" s="60"/>
      <c r="G128" s="61" t="s">
        <v>37</v>
      </c>
      <c r="H128" s="69"/>
      <c r="I128" s="69"/>
      <c r="J128" s="149"/>
      <c r="K128" s="206"/>
      <c r="L128" s="209"/>
      <c r="M128" s="69"/>
      <c r="N128" s="69"/>
      <c r="O128" s="69"/>
      <c r="P128" s="69"/>
      <c r="Q128" s="69"/>
      <c r="R128" s="69"/>
      <c r="S128" s="69"/>
      <c r="T128" s="130">
        <f t="shared" si="63"/>
        <v>0</v>
      </c>
      <c r="U128" s="69"/>
      <c r="V128" s="69">
        <f>SUM(L128:S128)</f>
        <v>0</v>
      </c>
      <c r="W128" s="69"/>
    </row>
    <row r="129" spans="1:23" ht="15.75" customHeight="1" outlineLevel="1" collapsed="1">
      <c r="A129" s="48"/>
      <c r="B129" s="49">
        <v>5.3</v>
      </c>
      <c r="C129" s="332" t="s">
        <v>63</v>
      </c>
      <c r="D129" s="330"/>
      <c r="E129" s="50">
        <v>45853</v>
      </c>
      <c r="F129" s="49" t="s">
        <v>77</v>
      </c>
      <c r="G129" s="135"/>
      <c r="H129" s="136"/>
      <c r="I129" s="137"/>
      <c r="J129" s="138"/>
      <c r="K129" s="138"/>
      <c r="L129" s="232"/>
      <c r="M129" s="140"/>
      <c r="N129" s="141"/>
      <c r="O129" s="141"/>
      <c r="P129" s="141"/>
      <c r="Q129" s="141"/>
      <c r="R129" s="141"/>
      <c r="S129" s="141"/>
      <c r="T129" s="142">
        <f t="shared" ref="T129:W129" si="64">SUM(T130:T135)</f>
        <v>0</v>
      </c>
      <c r="U129" s="142">
        <f t="shared" si="64"/>
        <v>31684.174580612835</v>
      </c>
      <c r="V129" s="142">
        <f t="shared" si="64"/>
        <v>0</v>
      </c>
      <c r="W129" s="142">
        <f t="shared" si="64"/>
        <v>0</v>
      </c>
    </row>
    <row r="130" spans="1:23" ht="17.25" hidden="1" customHeight="1" outlineLevel="2">
      <c r="A130" s="48"/>
      <c r="B130" s="58"/>
      <c r="C130" s="59"/>
      <c r="D130" s="59"/>
      <c r="E130" s="60"/>
      <c r="F130" s="60"/>
      <c r="G130" s="61" t="s">
        <v>32</v>
      </c>
      <c r="H130" s="69"/>
      <c r="I130" s="69"/>
      <c r="J130" s="149"/>
      <c r="K130" s="206"/>
      <c r="L130" s="209"/>
      <c r="M130" s="69"/>
      <c r="N130" s="69"/>
      <c r="O130" s="69"/>
      <c r="P130" s="69"/>
      <c r="Q130" s="69"/>
      <c r="R130" s="69"/>
      <c r="S130" s="69"/>
      <c r="T130" s="130"/>
      <c r="U130" s="69">
        <f t="shared" ref="U130:U135" si="65">SUM(H130:N130)</f>
        <v>0</v>
      </c>
      <c r="V130" s="69"/>
      <c r="W130" s="69">
        <f t="shared" ref="W130:W135" si="66">SUM(O130:S130)</f>
        <v>0</v>
      </c>
    </row>
    <row r="131" spans="1:23" ht="17.25" hidden="1" customHeight="1" outlineLevel="2">
      <c r="A131" s="48"/>
      <c r="B131" s="58"/>
      <c r="C131" s="59"/>
      <c r="D131" s="59"/>
      <c r="E131" s="60"/>
      <c r="F131" s="60"/>
      <c r="G131" s="61" t="s">
        <v>33</v>
      </c>
      <c r="H131" s="69"/>
      <c r="I131" s="69"/>
      <c r="J131" s="149"/>
      <c r="K131" s="206"/>
      <c r="L131" s="209"/>
      <c r="M131" s="69"/>
      <c r="N131" s="69"/>
      <c r="O131" s="69"/>
      <c r="P131" s="69"/>
      <c r="Q131" s="69"/>
      <c r="R131" s="69"/>
      <c r="S131" s="69"/>
      <c r="T131" s="130"/>
      <c r="U131" s="69">
        <f t="shared" si="65"/>
        <v>0</v>
      </c>
      <c r="V131" s="69"/>
      <c r="W131" s="69">
        <f t="shared" si="66"/>
        <v>0</v>
      </c>
    </row>
    <row r="132" spans="1:23" ht="17.25" hidden="1" customHeight="1" outlineLevel="2">
      <c r="A132" s="48"/>
      <c r="B132" s="58"/>
      <c r="C132" s="59"/>
      <c r="D132" s="59"/>
      <c r="E132" s="60"/>
      <c r="F132" s="60"/>
      <c r="G132" s="61" t="s">
        <v>34</v>
      </c>
      <c r="H132" s="69">
        <v>1020</v>
      </c>
      <c r="I132" s="69">
        <v>832</v>
      </c>
      <c r="J132" s="149">
        <v>1024</v>
      </c>
      <c r="K132" s="206">
        <v>982</v>
      </c>
      <c r="L132" s="209">
        <v>533</v>
      </c>
      <c r="M132" s="69">
        <v>475</v>
      </c>
      <c r="N132" s="69">
        <v>445</v>
      </c>
      <c r="O132" s="69"/>
      <c r="P132" s="69"/>
      <c r="Q132" s="69"/>
      <c r="R132" s="69"/>
      <c r="S132" s="69"/>
      <c r="T132" s="130"/>
      <c r="U132" s="69">
        <f t="shared" si="65"/>
        <v>5311</v>
      </c>
      <c r="V132" s="69"/>
      <c r="W132" s="69">
        <f t="shared" si="66"/>
        <v>0</v>
      </c>
    </row>
    <row r="133" spans="1:23" ht="17.25" hidden="1" customHeight="1" outlineLevel="2">
      <c r="A133" s="48"/>
      <c r="B133" s="58"/>
      <c r="C133" s="59"/>
      <c r="D133" s="59"/>
      <c r="E133" s="60"/>
      <c r="F133" s="60"/>
      <c r="G133" s="61" t="s">
        <v>35</v>
      </c>
      <c r="H133" s="69">
        <v>1185.1745806128345</v>
      </c>
      <c r="I133" s="69">
        <v>449</v>
      </c>
      <c r="J133" s="149">
        <v>539</v>
      </c>
      <c r="K133" s="206">
        <v>901</v>
      </c>
      <c r="L133" s="209">
        <v>898</v>
      </c>
      <c r="M133" s="69">
        <v>901</v>
      </c>
      <c r="N133" s="69">
        <v>857</v>
      </c>
      <c r="O133" s="69"/>
      <c r="P133" s="69"/>
      <c r="Q133" s="69"/>
      <c r="R133" s="69"/>
      <c r="S133" s="69"/>
      <c r="T133" s="130"/>
      <c r="U133" s="69">
        <f t="shared" si="65"/>
        <v>5730.1745806128347</v>
      </c>
      <c r="V133" s="69"/>
      <c r="W133" s="69">
        <f t="shared" si="66"/>
        <v>0</v>
      </c>
    </row>
    <row r="134" spans="1:23" ht="17.25" hidden="1" customHeight="1" outlineLevel="2">
      <c r="A134" s="48"/>
      <c r="B134" s="58"/>
      <c r="C134" s="59"/>
      <c r="D134" s="59"/>
      <c r="E134" s="60"/>
      <c r="F134" s="60"/>
      <c r="G134" s="61" t="s">
        <v>36</v>
      </c>
      <c r="H134" s="69">
        <v>5024</v>
      </c>
      <c r="I134" s="69">
        <v>4673</v>
      </c>
      <c r="J134" s="149">
        <v>3501</v>
      </c>
      <c r="K134" s="206">
        <v>4056</v>
      </c>
      <c r="L134" s="209">
        <v>2775</v>
      </c>
      <c r="M134" s="69">
        <v>614</v>
      </c>
      <c r="N134" s="69" t="s">
        <v>148</v>
      </c>
      <c r="O134" s="69"/>
      <c r="P134" s="69"/>
      <c r="Q134" s="69"/>
      <c r="R134" s="69"/>
      <c r="S134" s="69"/>
      <c r="T134" s="130"/>
      <c r="U134" s="69">
        <f t="shared" si="65"/>
        <v>20643</v>
      </c>
      <c r="V134" s="69"/>
      <c r="W134" s="69">
        <f t="shared" si="66"/>
        <v>0</v>
      </c>
    </row>
    <row r="135" spans="1:23" ht="17.25" hidden="1" customHeight="1" outlineLevel="2">
      <c r="A135" s="48"/>
      <c r="B135" s="58"/>
      <c r="C135" s="59"/>
      <c r="D135" s="59"/>
      <c r="E135" s="60"/>
      <c r="F135" s="60"/>
      <c r="G135" s="61" t="s">
        <v>37</v>
      </c>
      <c r="H135" s="69"/>
      <c r="I135" s="69"/>
      <c r="J135" s="149"/>
      <c r="K135" s="206"/>
      <c r="L135" s="209"/>
      <c r="M135" s="69"/>
      <c r="N135" s="69"/>
      <c r="O135" s="69"/>
      <c r="P135" s="69"/>
      <c r="Q135" s="69"/>
      <c r="R135" s="69"/>
      <c r="S135" s="69"/>
      <c r="T135" s="130"/>
      <c r="U135" s="69">
        <f t="shared" si="65"/>
        <v>0</v>
      </c>
      <c r="V135" s="69"/>
      <c r="W135" s="69">
        <f t="shared" si="66"/>
        <v>0</v>
      </c>
    </row>
    <row r="136" spans="1:23" ht="21" customHeight="1">
      <c r="A136" s="19"/>
      <c r="B136" s="39">
        <v>6</v>
      </c>
      <c r="C136" s="40" t="s">
        <v>65</v>
      </c>
      <c r="D136" s="41"/>
      <c r="E136" s="71"/>
      <c r="F136" s="71"/>
      <c r="G136" s="72"/>
      <c r="H136" s="111"/>
      <c r="I136" s="112"/>
      <c r="J136" s="113"/>
      <c r="K136" s="230"/>
      <c r="L136" s="231"/>
      <c r="M136" s="111"/>
      <c r="N136" s="111"/>
      <c r="O136" s="111"/>
      <c r="P136" s="111"/>
      <c r="Q136" s="111"/>
      <c r="R136" s="111"/>
      <c r="S136" s="111"/>
      <c r="T136" s="115">
        <f t="shared" ref="T136:W136" si="67">T137+T144+T151</f>
        <v>53337.42</v>
      </c>
      <c r="U136" s="115">
        <f t="shared" si="67"/>
        <v>3474</v>
      </c>
      <c r="V136" s="115">
        <f t="shared" si="67"/>
        <v>0</v>
      </c>
      <c r="W136" s="115">
        <f t="shared" si="67"/>
        <v>0</v>
      </c>
    </row>
    <row r="137" spans="1:23" ht="15.75" customHeight="1" outlineLevel="1">
      <c r="A137" s="48"/>
      <c r="B137" s="49">
        <v>6.1</v>
      </c>
      <c r="C137" s="339" t="s">
        <v>66</v>
      </c>
      <c r="D137" s="340"/>
      <c r="E137" s="50">
        <v>45792</v>
      </c>
      <c r="F137" s="50">
        <v>45838</v>
      </c>
      <c r="G137" s="135"/>
      <c r="H137" s="150"/>
      <c r="I137" s="151"/>
      <c r="J137" s="119"/>
      <c r="K137" s="138"/>
      <c r="L137" s="232"/>
      <c r="M137" s="121"/>
      <c r="N137" s="118"/>
      <c r="O137" s="118"/>
      <c r="P137" s="118"/>
      <c r="Q137" s="118"/>
      <c r="R137" s="118"/>
      <c r="S137" s="118"/>
      <c r="T137" s="91">
        <f t="shared" ref="T137:W137" si="68">SUM(T138:T143)</f>
        <v>43485</v>
      </c>
      <c r="U137" s="91">
        <f t="shared" si="68"/>
        <v>0</v>
      </c>
      <c r="V137" s="91">
        <f t="shared" si="68"/>
        <v>0</v>
      </c>
      <c r="W137" s="91">
        <f t="shared" si="68"/>
        <v>0</v>
      </c>
    </row>
    <row r="138" spans="1:23" ht="17.25" customHeight="1" outlineLevel="2">
      <c r="A138" s="48"/>
      <c r="B138" s="58"/>
      <c r="C138" s="59"/>
      <c r="D138" s="59"/>
      <c r="E138" s="60"/>
      <c r="F138" s="60"/>
      <c r="G138" s="61" t="s">
        <v>32</v>
      </c>
      <c r="H138" s="69"/>
      <c r="I138" s="69"/>
      <c r="J138" s="149"/>
      <c r="K138" s="206"/>
      <c r="L138" s="296">
        <v>6142</v>
      </c>
      <c r="M138" s="275">
        <v>13858</v>
      </c>
      <c r="N138" s="275">
        <v>4871</v>
      </c>
      <c r="O138" s="69"/>
      <c r="P138" s="69"/>
      <c r="Q138" s="69"/>
      <c r="R138" s="69"/>
      <c r="S138" s="69"/>
      <c r="T138" s="130">
        <f t="shared" ref="T138:T141" si="69">SUM(H138:O138)</f>
        <v>24871</v>
      </c>
      <c r="U138" s="69"/>
      <c r="V138" s="69">
        <f>SUM(P138:S138)</f>
        <v>0</v>
      </c>
      <c r="W138" s="69"/>
    </row>
    <row r="139" spans="1:23" ht="17.25" customHeight="1" outlineLevel="2">
      <c r="A139" s="48"/>
      <c r="B139" s="58"/>
      <c r="C139" s="59"/>
      <c r="D139" s="59"/>
      <c r="E139" s="60"/>
      <c r="F139" s="60"/>
      <c r="G139" s="61" t="s">
        <v>33</v>
      </c>
      <c r="H139" s="69"/>
      <c r="I139" s="69"/>
      <c r="J139" s="149"/>
      <c r="K139" s="206"/>
      <c r="L139" s="209">
        <v>2278</v>
      </c>
      <c r="M139" s="92">
        <v>6955</v>
      </c>
      <c r="N139" s="69"/>
      <c r="O139" s="69"/>
      <c r="P139" s="69"/>
      <c r="Q139" s="69"/>
      <c r="R139" s="69"/>
      <c r="S139" s="69"/>
      <c r="T139" s="130">
        <f t="shared" si="69"/>
        <v>9233</v>
      </c>
      <c r="U139" s="69"/>
      <c r="V139" s="69">
        <f t="shared" ref="V139:V141" si="70">SUM(N139:S139)</f>
        <v>0</v>
      </c>
      <c r="W139" s="69"/>
    </row>
    <row r="140" spans="1:23" ht="17.25" customHeight="1" outlineLevel="2">
      <c r="A140" s="48"/>
      <c r="B140" s="58"/>
      <c r="C140" s="59"/>
      <c r="D140" s="59"/>
      <c r="E140" s="60"/>
      <c r="F140" s="60"/>
      <c r="G140" s="61" t="s">
        <v>34</v>
      </c>
      <c r="H140" s="69"/>
      <c r="I140" s="69"/>
      <c r="J140" s="149"/>
      <c r="K140" s="206"/>
      <c r="L140" s="209">
        <v>1562</v>
      </c>
      <c r="M140" s="69">
        <v>4090</v>
      </c>
      <c r="N140" s="69"/>
      <c r="O140" s="69"/>
      <c r="P140" s="69"/>
      <c r="Q140" s="69"/>
      <c r="R140" s="69"/>
      <c r="S140" s="69"/>
      <c r="T140" s="130">
        <f t="shared" si="69"/>
        <v>5652</v>
      </c>
      <c r="U140" s="69"/>
      <c r="V140" s="69">
        <f t="shared" si="70"/>
        <v>0</v>
      </c>
      <c r="W140" s="69"/>
    </row>
    <row r="141" spans="1:23" ht="17.25" customHeight="1" outlineLevel="2">
      <c r="A141" s="48"/>
      <c r="B141" s="58"/>
      <c r="C141" s="59"/>
      <c r="D141" s="59"/>
      <c r="E141" s="60"/>
      <c r="F141" s="60"/>
      <c r="G141" s="61" t="s">
        <v>35</v>
      </c>
      <c r="H141" s="69"/>
      <c r="I141" s="69"/>
      <c r="J141" s="149"/>
      <c r="K141" s="206"/>
      <c r="L141" s="209">
        <v>1376</v>
      </c>
      <c r="M141" s="69">
        <v>2353</v>
      </c>
      <c r="N141" s="69"/>
      <c r="O141" s="69"/>
      <c r="P141" s="69"/>
      <c r="Q141" s="69"/>
      <c r="R141" s="69"/>
      <c r="S141" s="69"/>
      <c r="T141" s="130">
        <f t="shared" si="69"/>
        <v>3729</v>
      </c>
      <c r="U141" s="69"/>
      <c r="V141" s="69">
        <f t="shared" si="70"/>
        <v>0</v>
      </c>
      <c r="W141" s="69"/>
    </row>
    <row r="142" spans="1:23" ht="17.25" customHeight="1" outlineLevel="2">
      <c r="A142" s="48"/>
      <c r="B142" s="58"/>
      <c r="C142" s="59"/>
      <c r="D142" s="59"/>
      <c r="E142" s="60"/>
      <c r="F142" s="60"/>
      <c r="G142" s="61" t="s">
        <v>36</v>
      </c>
      <c r="H142" s="69"/>
      <c r="I142" s="69"/>
      <c r="J142" s="149"/>
      <c r="K142" s="206"/>
      <c r="L142" s="209"/>
      <c r="M142" s="69"/>
      <c r="N142" s="69"/>
      <c r="O142" s="69"/>
      <c r="P142" s="69"/>
      <c r="Q142" s="69"/>
      <c r="R142" s="69"/>
      <c r="S142" s="69"/>
      <c r="T142" s="130"/>
      <c r="U142" s="69"/>
      <c r="V142" s="69"/>
      <c r="W142" s="69">
        <f>SUM(L142:S142)</f>
        <v>0</v>
      </c>
    </row>
    <row r="143" spans="1:23" ht="17.25" customHeight="1" outlineLevel="2">
      <c r="A143" s="48"/>
      <c r="B143" s="58"/>
      <c r="C143" s="59"/>
      <c r="D143" s="59"/>
      <c r="E143" s="60"/>
      <c r="F143" s="60"/>
      <c r="G143" s="61" t="s">
        <v>37</v>
      </c>
      <c r="H143" s="69"/>
      <c r="I143" s="69"/>
      <c r="J143" s="149"/>
      <c r="K143" s="206"/>
      <c r="L143" s="209"/>
      <c r="M143" s="69"/>
      <c r="N143" s="69"/>
      <c r="O143" s="69"/>
      <c r="P143" s="69"/>
      <c r="Q143" s="69"/>
      <c r="R143" s="69"/>
      <c r="S143" s="69"/>
      <c r="T143" s="130"/>
      <c r="U143" s="69"/>
      <c r="V143" s="69"/>
      <c r="W143" s="69"/>
    </row>
    <row r="144" spans="1:23" ht="15.75" customHeight="1" outlineLevel="1">
      <c r="A144" s="48"/>
      <c r="B144" s="49">
        <v>6.2</v>
      </c>
      <c r="C144" s="332" t="s">
        <v>67</v>
      </c>
      <c r="D144" s="330"/>
      <c r="E144" s="50">
        <v>45839</v>
      </c>
      <c r="F144" s="50">
        <v>45930</v>
      </c>
      <c r="G144" s="135"/>
      <c r="H144" s="136"/>
      <c r="I144" s="137"/>
      <c r="J144" s="138"/>
      <c r="K144" s="138"/>
      <c r="L144" s="232"/>
      <c r="M144" s="140"/>
      <c r="N144" s="141"/>
      <c r="O144" s="141"/>
      <c r="P144" s="141"/>
      <c r="Q144" s="141"/>
      <c r="R144" s="141"/>
      <c r="S144" s="141"/>
      <c r="T144" s="142">
        <f t="shared" ref="T144:W144" si="71">SUM(T145:T150)</f>
        <v>4655.42</v>
      </c>
      <c r="U144" s="142">
        <f t="shared" si="71"/>
        <v>0</v>
      </c>
      <c r="V144" s="142">
        <f t="shared" si="71"/>
        <v>0</v>
      </c>
      <c r="W144" s="142">
        <f t="shared" si="71"/>
        <v>0</v>
      </c>
    </row>
    <row r="145" spans="1:23" ht="17.25" customHeight="1" outlineLevel="2">
      <c r="A145" s="48"/>
      <c r="B145" s="58"/>
      <c r="C145" s="59"/>
      <c r="D145" s="59"/>
      <c r="E145" s="60"/>
      <c r="F145" s="60"/>
      <c r="G145" s="61" t="s">
        <v>32</v>
      </c>
      <c r="H145" s="69"/>
      <c r="I145" s="69"/>
      <c r="J145" s="149"/>
      <c r="K145" s="206"/>
      <c r="L145" s="209"/>
      <c r="M145" s="69"/>
      <c r="N145" s="69"/>
      <c r="O145" s="69"/>
      <c r="P145" s="69"/>
      <c r="Q145" s="69"/>
      <c r="R145" s="69"/>
      <c r="S145" s="69"/>
      <c r="T145" s="130">
        <f t="shared" ref="T145:T146" si="72">SUM(H145:O145)</f>
        <v>0</v>
      </c>
      <c r="U145" s="69"/>
      <c r="V145" s="69">
        <f t="shared" ref="V145:V146" si="73">SUM(P145:S145)</f>
        <v>0</v>
      </c>
      <c r="W145" s="69"/>
    </row>
    <row r="146" spans="1:23" ht="17.25" customHeight="1" outlineLevel="2">
      <c r="A146" s="48"/>
      <c r="B146" s="58"/>
      <c r="C146" s="59"/>
      <c r="D146" s="59"/>
      <c r="E146" s="60"/>
      <c r="F146" s="60"/>
      <c r="G146" s="61" t="s">
        <v>33</v>
      </c>
      <c r="H146" s="69"/>
      <c r="I146" s="69"/>
      <c r="J146" s="149"/>
      <c r="K146" s="206"/>
      <c r="L146" s="209"/>
      <c r="M146" s="69"/>
      <c r="N146" s="69"/>
      <c r="O146" s="69"/>
      <c r="P146" s="69"/>
      <c r="Q146" s="69"/>
      <c r="R146" s="69"/>
      <c r="S146" s="69"/>
      <c r="T146" s="130">
        <f t="shared" si="72"/>
        <v>0</v>
      </c>
      <c r="U146" s="69"/>
      <c r="V146" s="69">
        <f t="shared" si="73"/>
        <v>0</v>
      </c>
      <c r="W146" s="69"/>
    </row>
    <row r="147" spans="1:23" ht="17.25" customHeight="1" outlineLevel="2">
      <c r="A147" s="48"/>
      <c r="B147" s="58"/>
      <c r="C147" s="59"/>
      <c r="D147" s="59"/>
      <c r="E147" s="60"/>
      <c r="F147" s="60"/>
      <c r="G147" s="61" t="s">
        <v>34</v>
      </c>
      <c r="H147" s="69"/>
      <c r="I147" s="69"/>
      <c r="J147" s="149"/>
      <c r="K147" s="206"/>
      <c r="L147" s="209"/>
      <c r="M147" s="69"/>
      <c r="N147" s="69">
        <v>1190</v>
      </c>
      <c r="O147" s="297">
        <v>1373.23</v>
      </c>
      <c r="P147" s="297">
        <v>950.07</v>
      </c>
      <c r="Q147" s="69"/>
      <c r="R147" s="69"/>
      <c r="S147" s="69"/>
      <c r="T147" s="130">
        <f t="shared" ref="T147:T148" si="74">SUM(H147:P147)</f>
        <v>3513.3</v>
      </c>
      <c r="U147" s="69"/>
      <c r="V147" s="69">
        <f t="shared" ref="V147:V148" si="75">SUM(Q147:S147)</f>
        <v>0</v>
      </c>
      <c r="W147" s="69"/>
    </row>
    <row r="148" spans="1:23" ht="17.25" customHeight="1" outlineLevel="2">
      <c r="A148" s="48"/>
      <c r="B148" s="58"/>
      <c r="C148" s="59"/>
      <c r="D148" s="59"/>
      <c r="E148" s="60"/>
      <c r="F148" s="60"/>
      <c r="G148" s="61" t="s">
        <v>35</v>
      </c>
      <c r="H148" s="69"/>
      <c r="I148" s="69"/>
      <c r="J148" s="149"/>
      <c r="K148" s="206"/>
      <c r="L148" s="209"/>
      <c r="M148" s="69"/>
      <c r="N148" s="69">
        <v>459</v>
      </c>
      <c r="O148" s="297">
        <v>167.29</v>
      </c>
      <c r="P148" s="297">
        <v>515.83000000000004</v>
      </c>
      <c r="Q148" s="69"/>
      <c r="R148" s="69"/>
      <c r="S148" s="69"/>
      <c r="T148" s="130">
        <f t="shared" si="74"/>
        <v>1142.1199999999999</v>
      </c>
      <c r="U148" s="69"/>
      <c r="V148" s="69">
        <f t="shared" si="75"/>
        <v>0</v>
      </c>
      <c r="W148" s="69"/>
    </row>
    <row r="149" spans="1:23" ht="17.25" customHeight="1" outlineLevel="2">
      <c r="A149" s="48"/>
      <c r="B149" s="58"/>
      <c r="C149" s="59"/>
      <c r="D149" s="59"/>
      <c r="E149" s="60"/>
      <c r="F149" s="60"/>
      <c r="G149" s="61" t="s">
        <v>36</v>
      </c>
      <c r="H149" s="69"/>
      <c r="I149" s="69"/>
      <c r="J149" s="149"/>
      <c r="K149" s="206"/>
      <c r="L149" s="209"/>
      <c r="M149" s="69"/>
      <c r="N149" s="69"/>
      <c r="O149" s="69"/>
      <c r="P149" s="69"/>
      <c r="Q149" s="69"/>
      <c r="R149" s="69"/>
      <c r="S149" s="69"/>
      <c r="T149" s="130">
        <f t="shared" ref="T149:T150" si="76">SUM(H149:O149)</f>
        <v>0</v>
      </c>
      <c r="U149" s="69"/>
      <c r="V149" s="69">
        <f>SUM(P149:S149)</f>
        <v>0</v>
      </c>
      <c r="W149" s="69">
        <f>SUM(L149:S149)</f>
        <v>0</v>
      </c>
    </row>
    <row r="150" spans="1:23" ht="17.25" customHeight="1" outlineLevel="2">
      <c r="A150" s="48"/>
      <c r="B150" s="58"/>
      <c r="C150" s="59"/>
      <c r="D150" s="59"/>
      <c r="E150" s="60"/>
      <c r="F150" s="60"/>
      <c r="G150" s="61" t="s">
        <v>37</v>
      </c>
      <c r="H150" s="69"/>
      <c r="I150" s="69"/>
      <c r="J150" s="149"/>
      <c r="K150" s="206"/>
      <c r="L150" s="209"/>
      <c r="M150" s="69"/>
      <c r="N150" s="69"/>
      <c r="O150" s="69"/>
      <c r="P150" s="69"/>
      <c r="Q150" s="69"/>
      <c r="R150" s="69"/>
      <c r="S150" s="69"/>
      <c r="T150" s="130">
        <f t="shared" si="76"/>
        <v>0</v>
      </c>
      <c r="U150" s="69"/>
      <c r="V150" s="69">
        <f>SUM(O150:S150)</f>
        <v>0</v>
      </c>
      <c r="W150" s="69"/>
    </row>
    <row r="151" spans="1:23" ht="15.75" customHeight="1" outlineLevel="1">
      <c r="A151" s="48"/>
      <c r="B151" s="49" t="s">
        <v>68</v>
      </c>
      <c r="C151" s="332" t="s">
        <v>69</v>
      </c>
      <c r="D151" s="330"/>
      <c r="E151" s="50">
        <v>45658</v>
      </c>
      <c r="F151" s="50">
        <v>45809</v>
      </c>
      <c r="G151" s="135"/>
      <c r="H151" s="136"/>
      <c r="I151" s="137"/>
      <c r="J151" s="138"/>
      <c r="K151" s="138"/>
      <c r="L151" s="232"/>
      <c r="M151" s="140"/>
      <c r="N151" s="141"/>
      <c r="O151" s="141"/>
      <c r="P151" s="141"/>
      <c r="Q151" s="141"/>
      <c r="R151" s="141"/>
      <c r="S151" s="141"/>
      <c r="T151" s="142">
        <f t="shared" ref="T151:W151" si="77">SUM(T152:T157)</f>
        <v>5197</v>
      </c>
      <c r="U151" s="142">
        <f t="shared" si="77"/>
        <v>3474</v>
      </c>
      <c r="V151" s="142">
        <f t="shared" si="77"/>
        <v>0</v>
      </c>
      <c r="W151" s="142">
        <f t="shared" si="77"/>
        <v>0</v>
      </c>
    </row>
    <row r="152" spans="1:23" ht="17.25" customHeight="1" outlineLevel="2">
      <c r="A152" s="48"/>
      <c r="B152" s="58"/>
      <c r="C152" s="59"/>
      <c r="D152" s="59"/>
      <c r="E152" s="60"/>
      <c r="F152" s="60"/>
      <c r="G152" s="61" t="s">
        <v>32</v>
      </c>
      <c r="H152" s="69"/>
      <c r="I152" s="69"/>
      <c r="J152" s="149"/>
      <c r="K152" s="206"/>
      <c r="L152" s="209"/>
      <c r="M152" s="69"/>
      <c r="N152" s="69"/>
      <c r="O152" s="69"/>
      <c r="P152" s="69"/>
      <c r="Q152" s="69"/>
      <c r="R152" s="69"/>
      <c r="S152" s="69"/>
      <c r="T152" s="130">
        <f t="shared" ref="T152:T155" si="78">SUM(H152:L152)</f>
        <v>0</v>
      </c>
      <c r="U152" s="69"/>
      <c r="V152" s="69"/>
      <c r="W152" s="69"/>
    </row>
    <row r="153" spans="1:23" ht="17.25" customHeight="1" outlineLevel="2">
      <c r="A153" s="48"/>
      <c r="B153" s="58"/>
      <c r="C153" s="59"/>
      <c r="D153" s="59"/>
      <c r="E153" s="60"/>
      <c r="F153" s="60"/>
      <c r="G153" s="61" t="s">
        <v>33</v>
      </c>
      <c r="H153" s="69"/>
      <c r="I153" s="69"/>
      <c r="J153" s="149"/>
      <c r="K153" s="206"/>
      <c r="L153" s="209"/>
      <c r="M153" s="69"/>
      <c r="N153" s="69"/>
      <c r="O153" s="69"/>
      <c r="P153" s="69"/>
      <c r="Q153" s="69"/>
      <c r="R153" s="69"/>
      <c r="S153" s="69"/>
      <c r="T153" s="130">
        <f t="shared" si="78"/>
        <v>0</v>
      </c>
      <c r="U153" s="69"/>
      <c r="V153" s="69"/>
      <c r="W153" s="69"/>
    </row>
    <row r="154" spans="1:23" ht="17.25" customHeight="1" outlineLevel="2">
      <c r="A154" s="48"/>
      <c r="B154" s="58"/>
      <c r="C154" s="59"/>
      <c r="D154" s="59"/>
      <c r="E154" s="60"/>
      <c r="F154" s="60"/>
      <c r="G154" s="61" t="s">
        <v>34</v>
      </c>
      <c r="H154" s="69">
        <v>511</v>
      </c>
      <c r="I154" s="69">
        <v>511</v>
      </c>
      <c r="J154" s="149">
        <v>511</v>
      </c>
      <c r="K154" s="206"/>
      <c r="L154" s="209"/>
      <c r="M154" s="69"/>
      <c r="N154" s="69"/>
      <c r="O154" s="69"/>
      <c r="P154" s="69"/>
      <c r="Q154" s="69"/>
      <c r="R154" s="69"/>
      <c r="S154" s="69"/>
      <c r="T154" s="130">
        <f t="shared" si="78"/>
        <v>1533</v>
      </c>
      <c r="U154" s="69"/>
      <c r="V154" s="69"/>
      <c r="W154" s="69"/>
    </row>
    <row r="155" spans="1:23" ht="17.25" customHeight="1" outlineLevel="2">
      <c r="A155" s="48"/>
      <c r="B155" s="58"/>
      <c r="C155" s="59"/>
      <c r="D155" s="59"/>
      <c r="E155" s="60"/>
      <c r="F155" s="60"/>
      <c r="G155" s="61" t="s">
        <v>35</v>
      </c>
      <c r="H155" s="69">
        <v>1100</v>
      </c>
      <c r="I155" s="69">
        <v>1092</v>
      </c>
      <c r="J155" s="149">
        <v>896</v>
      </c>
      <c r="K155" s="206">
        <v>576</v>
      </c>
      <c r="L155" s="209"/>
      <c r="M155" s="69"/>
      <c r="N155" s="69"/>
      <c r="O155" s="69"/>
      <c r="P155" s="69"/>
      <c r="Q155" s="69"/>
      <c r="R155" s="69"/>
      <c r="S155" s="69"/>
      <c r="T155" s="130">
        <f t="shared" si="78"/>
        <v>3664</v>
      </c>
      <c r="U155" s="69"/>
      <c r="V155" s="69"/>
      <c r="W155" s="69"/>
    </row>
    <row r="156" spans="1:23" ht="17.25" customHeight="1" outlineLevel="2">
      <c r="A156" s="48"/>
      <c r="B156" s="58"/>
      <c r="C156" s="59"/>
      <c r="D156" s="59"/>
      <c r="E156" s="60"/>
      <c r="F156" s="60"/>
      <c r="G156" s="61" t="s">
        <v>36</v>
      </c>
      <c r="H156" s="69">
        <v>699</v>
      </c>
      <c r="I156" s="69">
        <v>699</v>
      </c>
      <c r="J156" s="149">
        <v>677</v>
      </c>
      <c r="K156" s="206">
        <v>700</v>
      </c>
      <c r="L156" s="209">
        <v>699</v>
      </c>
      <c r="M156" s="69"/>
      <c r="N156" s="69"/>
      <c r="O156" s="69"/>
      <c r="P156" s="69"/>
      <c r="Q156" s="69"/>
      <c r="R156" s="69"/>
      <c r="S156" s="69"/>
      <c r="T156" s="130"/>
      <c r="U156" s="69">
        <f>SUM(H156:L156)</f>
        <v>3474</v>
      </c>
      <c r="V156" s="69"/>
      <c r="W156" s="69"/>
    </row>
    <row r="157" spans="1:23" ht="17.25" customHeight="1" outlineLevel="2">
      <c r="A157" s="48"/>
      <c r="B157" s="58"/>
      <c r="C157" s="59"/>
      <c r="D157" s="59"/>
      <c r="E157" s="60"/>
      <c r="F157" s="60"/>
      <c r="G157" s="61" t="s">
        <v>37</v>
      </c>
      <c r="H157" s="69"/>
      <c r="I157" s="69"/>
      <c r="J157" s="149"/>
      <c r="K157" s="206"/>
      <c r="L157" s="209"/>
      <c r="M157" s="69"/>
      <c r="N157" s="69"/>
      <c r="O157" s="69"/>
      <c r="P157" s="69"/>
      <c r="Q157" s="69"/>
      <c r="R157" s="69"/>
      <c r="S157" s="69"/>
      <c r="T157" s="130"/>
      <c r="U157" s="69"/>
      <c r="V157" s="69"/>
      <c r="W157" s="69"/>
    </row>
    <row r="158" spans="1:23" ht="21" customHeight="1">
      <c r="A158" s="19"/>
      <c r="B158" s="39">
        <v>7</v>
      </c>
      <c r="C158" s="70" t="s">
        <v>70</v>
      </c>
      <c r="D158" s="42"/>
      <c r="E158" s="71"/>
      <c r="F158" s="71"/>
      <c r="G158" s="72"/>
      <c r="H158" s="111"/>
      <c r="I158" s="112"/>
      <c r="J158" s="113"/>
      <c r="K158" s="230"/>
      <c r="L158" s="231"/>
      <c r="M158" s="111"/>
      <c r="N158" s="111"/>
      <c r="O158" s="111"/>
      <c r="P158" s="111"/>
      <c r="Q158" s="111"/>
      <c r="R158" s="111"/>
      <c r="S158" s="111"/>
      <c r="T158" s="115">
        <f t="shared" ref="T158:W158" si="79">T159+T162+T169+T176+T183+T190</f>
        <v>36280.79</v>
      </c>
      <c r="U158" s="115">
        <f t="shared" si="79"/>
        <v>0</v>
      </c>
      <c r="V158" s="115">
        <f t="shared" si="79"/>
        <v>11160</v>
      </c>
      <c r="W158" s="115">
        <f t="shared" si="79"/>
        <v>0</v>
      </c>
    </row>
    <row r="159" spans="1:23" ht="15.75" customHeight="1" outlineLevel="2">
      <c r="A159" s="48"/>
      <c r="B159" s="49">
        <v>7.1</v>
      </c>
      <c r="C159" s="329" t="s">
        <v>71</v>
      </c>
      <c r="D159" s="330"/>
      <c r="E159" s="50">
        <v>45627</v>
      </c>
      <c r="F159" s="50">
        <v>45746</v>
      </c>
      <c r="G159" s="135"/>
      <c r="H159" s="150"/>
      <c r="I159" s="150"/>
      <c r="J159" s="161"/>
      <c r="K159" s="249"/>
      <c r="L159" s="250"/>
      <c r="M159" s="163"/>
      <c r="N159" s="150"/>
      <c r="O159" s="150"/>
      <c r="P159" s="150"/>
      <c r="Q159" s="150"/>
      <c r="R159" s="150"/>
      <c r="S159" s="91"/>
      <c r="T159" s="91">
        <f t="shared" ref="T159:W159" si="80">SUM(T160:T161)</f>
        <v>8130</v>
      </c>
      <c r="U159" s="91">
        <f t="shared" si="80"/>
        <v>0</v>
      </c>
      <c r="V159" s="91">
        <f t="shared" si="80"/>
        <v>0</v>
      </c>
      <c r="W159" s="91">
        <f t="shared" si="80"/>
        <v>0</v>
      </c>
    </row>
    <row r="160" spans="1:23" ht="17.25" customHeight="1" outlineLevel="3">
      <c r="A160" s="48"/>
      <c r="B160" s="58"/>
      <c r="C160" s="59"/>
      <c r="D160" s="59"/>
      <c r="E160" s="60"/>
      <c r="F160" s="60"/>
      <c r="G160" s="61" t="s">
        <v>35</v>
      </c>
      <c r="H160" s="69">
        <v>827</v>
      </c>
      <c r="I160" s="69">
        <v>1097</v>
      </c>
      <c r="J160" s="149">
        <v>711</v>
      </c>
      <c r="K160" s="206"/>
      <c r="L160" s="209"/>
      <c r="M160" s="69">
        <v>72</v>
      </c>
      <c r="N160" s="69">
        <v>827</v>
      </c>
      <c r="O160" s="69"/>
      <c r="P160" s="69"/>
      <c r="Q160" s="69"/>
      <c r="R160" s="69"/>
      <c r="S160" s="67"/>
      <c r="T160" s="67">
        <f t="shared" ref="T160:T161" si="81">SUM(H160:N160)</f>
        <v>3534</v>
      </c>
      <c r="U160" s="67"/>
      <c r="V160" s="67">
        <f t="shared" ref="V160:V161" si="82">SUM(O160:S160)</f>
        <v>0</v>
      </c>
      <c r="W160" s="67"/>
    </row>
    <row r="161" spans="1:23" ht="17.25" customHeight="1" outlineLevel="3">
      <c r="A161" s="48"/>
      <c r="B161" s="58"/>
      <c r="C161" s="59"/>
      <c r="D161" s="59"/>
      <c r="E161" s="60"/>
      <c r="F161" s="60"/>
      <c r="G161" s="61" t="s">
        <v>36</v>
      </c>
      <c r="H161" s="69">
        <v>1156</v>
      </c>
      <c r="I161" s="69">
        <v>1301</v>
      </c>
      <c r="J161" s="149">
        <v>519</v>
      </c>
      <c r="K161" s="206">
        <v>374</v>
      </c>
      <c r="L161" s="209"/>
      <c r="M161" s="69">
        <v>90</v>
      </c>
      <c r="N161" s="69">
        <v>1156</v>
      </c>
      <c r="O161" s="69"/>
      <c r="P161" s="69"/>
      <c r="Q161" s="69"/>
      <c r="R161" s="69"/>
      <c r="S161" s="67"/>
      <c r="T161" s="67">
        <f t="shared" si="81"/>
        <v>4596</v>
      </c>
      <c r="U161" s="67"/>
      <c r="V161" s="67">
        <f t="shared" si="82"/>
        <v>0</v>
      </c>
      <c r="W161" s="67"/>
    </row>
    <row r="162" spans="1:23" ht="15.75" customHeight="1" outlineLevel="2">
      <c r="A162" s="48"/>
      <c r="B162" s="49">
        <v>7.2</v>
      </c>
      <c r="C162" s="366" t="s">
        <v>149</v>
      </c>
      <c r="D162" s="330"/>
      <c r="E162" s="159">
        <v>45823</v>
      </c>
      <c r="F162" s="50">
        <v>45960</v>
      </c>
      <c r="G162" s="51"/>
      <c r="H162" s="57"/>
      <c r="I162" s="57"/>
      <c r="J162" s="169"/>
      <c r="K162" s="179"/>
      <c r="L162" s="223"/>
      <c r="M162" s="57"/>
      <c r="N162" s="57"/>
      <c r="O162" s="57"/>
      <c r="P162" s="57"/>
      <c r="Q162" s="57"/>
      <c r="R162" s="57"/>
      <c r="S162" s="91"/>
      <c r="T162" s="91">
        <f t="shared" ref="T162:W162" si="83">SUM(T163:T168)</f>
        <v>4499.25</v>
      </c>
      <c r="U162" s="91">
        <f t="shared" si="83"/>
        <v>0</v>
      </c>
      <c r="V162" s="91">
        <f t="shared" si="83"/>
        <v>0</v>
      </c>
      <c r="W162" s="91">
        <f t="shared" si="83"/>
        <v>0</v>
      </c>
    </row>
    <row r="163" spans="1:23" ht="17.25" customHeight="1" outlineLevel="3">
      <c r="A163" s="48"/>
      <c r="B163" s="58"/>
      <c r="C163" s="59"/>
      <c r="D163" s="59"/>
      <c r="E163" s="60"/>
      <c r="F163" s="60"/>
      <c r="G163" s="61" t="s">
        <v>32</v>
      </c>
      <c r="H163" s="62"/>
      <c r="I163" s="63"/>
      <c r="J163" s="64"/>
      <c r="K163" s="206"/>
      <c r="L163" s="209"/>
      <c r="M163" s="69"/>
      <c r="N163" s="67"/>
      <c r="O163" s="67"/>
      <c r="P163" s="67"/>
      <c r="Q163" s="67"/>
      <c r="R163" s="68"/>
      <c r="S163" s="68"/>
      <c r="T163" s="67">
        <f t="shared" ref="T163:T164" si="84">SUM(H163:O163)</f>
        <v>0</v>
      </c>
      <c r="U163" s="67"/>
      <c r="V163" s="67">
        <f t="shared" ref="V163:V164" si="85">SUM(P163:S163)</f>
        <v>0</v>
      </c>
      <c r="W163" s="67"/>
    </row>
    <row r="164" spans="1:23" ht="17.25" customHeight="1" outlineLevel="3">
      <c r="A164" s="48"/>
      <c r="B164" s="58"/>
      <c r="C164" s="59"/>
      <c r="D164" s="59"/>
      <c r="E164" s="60"/>
      <c r="F164" s="60"/>
      <c r="G164" s="61" t="s">
        <v>33</v>
      </c>
      <c r="H164" s="62"/>
      <c r="I164" s="63"/>
      <c r="J164" s="64"/>
      <c r="K164" s="206"/>
      <c r="L164" s="209"/>
      <c r="M164" s="69"/>
      <c r="N164" s="67"/>
      <c r="O164" s="67"/>
      <c r="P164" s="67"/>
      <c r="Q164" s="67"/>
      <c r="R164" s="68"/>
      <c r="S164" s="68"/>
      <c r="T164" s="67">
        <f t="shared" si="84"/>
        <v>0</v>
      </c>
      <c r="U164" s="67"/>
      <c r="V164" s="67">
        <f t="shared" si="85"/>
        <v>0</v>
      </c>
      <c r="W164" s="67"/>
    </row>
    <row r="165" spans="1:23" ht="17.25" customHeight="1" outlineLevel="3">
      <c r="A165" s="48"/>
      <c r="B165" s="58"/>
      <c r="C165" s="59"/>
      <c r="D165" s="59"/>
      <c r="E165" s="60"/>
      <c r="F165" s="60"/>
      <c r="G165" s="61" t="s">
        <v>34</v>
      </c>
      <c r="H165" s="62"/>
      <c r="I165" s="63"/>
      <c r="J165" s="64"/>
      <c r="K165" s="206"/>
      <c r="L165" s="210"/>
      <c r="M165" s="92"/>
      <c r="N165" s="67">
        <v>771</v>
      </c>
      <c r="O165" s="276">
        <v>2308.9699999999998</v>
      </c>
      <c r="P165" s="276">
        <v>1419.28</v>
      </c>
      <c r="Q165" s="67"/>
      <c r="R165" s="68"/>
      <c r="S165" s="68"/>
      <c r="T165" s="67">
        <f>SUM(H165:P165)</f>
        <v>4499.25</v>
      </c>
      <c r="U165" s="67"/>
      <c r="V165" s="67">
        <f>SUM(Q165:S165)</f>
        <v>0</v>
      </c>
      <c r="W165" s="67"/>
    </row>
    <row r="166" spans="1:23" ht="17.25" customHeight="1" outlineLevel="3">
      <c r="A166" s="48"/>
      <c r="B166" s="58"/>
      <c r="C166" s="59"/>
      <c r="D166" s="59"/>
      <c r="E166" s="60"/>
      <c r="F166" s="60"/>
      <c r="G166" s="61" t="s">
        <v>35</v>
      </c>
      <c r="H166" s="62"/>
      <c r="I166" s="63"/>
      <c r="J166" s="64"/>
      <c r="K166" s="206"/>
      <c r="L166" s="210"/>
      <c r="M166" s="92"/>
      <c r="N166" s="67"/>
      <c r="O166" s="67"/>
      <c r="P166" s="67"/>
      <c r="Q166" s="67"/>
      <c r="R166" s="68"/>
      <c r="S166" s="68"/>
      <c r="T166" s="67">
        <f t="shared" ref="T166:T168" si="86">SUM(H166:O166)</f>
        <v>0</v>
      </c>
      <c r="U166" s="67"/>
      <c r="V166" s="67">
        <f t="shared" ref="V166:V168" si="87">SUM(P166:S166)</f>
        <v>0</v>
      </c>
      <c r="W166" s="67"/>
    </row>
    <row r="167" spans="1:23" ht="17.25" customHeight="1" outlineLevel="3">
      <c r="A167" s="48"/>
      <c r="B167" s="58"/>
      <c r="C167" s="59"/>
      <c r="D167" s="59"/>
      <c r="E167" s="60"/>
      <c r="F167" s="60"/>
      <c r="G167" s="61" t="s">
        <v>36</v>
      </c>
      <c r="H167" s="62"/>
      <c r="I167" s="63"/>
      <c r="J167" s="64"/>
      <c r="K167" s="206"/>
      <c r="L167" s="209"/>
      <c r="M167" s="69"/>
      <c r="N167" s="67"/>
      <c r="O167" s="67"/>
      <c r="P167" s="67"/>
      <c r="Q167" s="67"/>
      <c r="R167" s="68"/>
      <c r="S167" s="68"/>
      <c r="T167" s="67">
        <f t="shared" si="86"/>
        <v>0</v>
      </c>
      <c r="U167" s="67"/>
      <c r="V167" s="67">
        <f t="shared" si="87"/>
        <v>0</v>
      </c>
      <c r="W167" s="67"/>
    </row>
    <row r="168" spans="1:23" ht="17.25" customHeight="1" outlineLevel="3">
      <c r="A168" s="48"/>
      <c r="B168" s="58"/>
      <c r="C168" s="59"/>
      <c r="D168" s="59"/>
      <c r="E168" s="60"/>
      <c r="F168" s="60"/>
      <c r="G168" s="61" t="s">
        <v>37</v>
      </c>
      <c r="H168" s="62"/>
      <c r="I168" s="63"/>
      <c r="J168" s="64"/>
      <c r="K168" s="212"/>
      <c r="L168" s="209"/>
      <c r="M168" s="69"/>
      <c r="N168" s="67"/>
      <c r="O168" s="67"/>
      <c r="P168" s="67"/>
      <c r="Q168" s="67"/>
      <c r="R168" s="68"/>
      <c r="S168" s="68"/>
      <c r="T168" s="67">
        <f t="shared" si="86"/>
        <v>0</v>
      </c>
      <c r="U168" s="67"/>
      <c r="V168" s="67">
        <f t="shared" si="87"/>
        <v>0</v>
      </c>
      <c r="W168" s="67"/>
    </row>
    <row r="169" spans="1:23" ht="15.75" customHeight="1" outlineLevel="2">
      <c r="A169" s="48"/>
      <c r="B169" s="49">
        <v>7.4</v>
      </c>
      <c r="C169" s="329" t="s">
        <v>75</v>
      </c>
      <c r="D169" s="330"/>
      <c r="E169" s="298">
        <v>45950</v>
      </c>
      <c r="F169" s="298">
        <v>45991</v>
      </c>
      <c r="G169" s="172"/>
      <c r="H169" s="57"/>
      <c r="I169" s="57"/>
      <c r="J169" s="169"/>
      <c r="K169" s="179"/>
      <c r="L169" s="223"/>
      <c r="M169" s="57"/>
      <c r="N169" s="57"/>
      <c r="O169" s="91"/>
      <c r="P169" s="91"/>
      <c r="Q169" s="57"/>
      <c r="R169" s="57"/>
      <c r="S169" s="57"/>
      <c r="T169" s="57">
        <f t="shared" ref="T169:W169" si="88">SUM(T170:T175)</f>
        <v>1314.38</v>
      </c>
      <c r="U169" s="57">
        <f t="shared" si="88"/>
        <v>0</v>
      </c>
      <c r="V169" s="57">
        <f t="shared" si="88"/>
        <v>0</v>
      </c>
      <c r="W169" s="57">
        <f t="shared" si="88"/>
        <v>0</v>
      </c>
    </row>
    <row r="170" spans="1:23" ht="17.25" customHeight="1" outlineLevel="3">
      <c r="A170" s="48"/>
      <c r="B170" s="58"/>
      <c r="C170" s="59"/>
      <c r="D170" s="59"/>
      <c r="E170" s="60"/>
      <c r="F170" s="60"/>
      <c r="G170" s="61" t="s">
        <v>32</v>
      </c>
      <c r="H170" s="62"/>
      <c r="I170" s="63"/>
      <c r="J170" s="64"/>
      <c r="K170" s="206"/>
      <c r="L170" s="209"/>
      <c r="M170" s="69"/>
      <c r="N170" s="67"/>
      <c r="O170" s="67"/>
      <c r="P170" s="67"/>
      <c r="Q170" s="108"/>
      <c r="R170" s="274"/>
      <c r="S170" s="68"/>
      <c r="T170" s="67">
        <f>SUM(H170:O170)</f>
        <v>0</v>
      </c>
      <c r="U170" s="67"/>
      <c r="V170" s="67">
        <f t="shared" ref="V170:V173" si="89">SUM(Q170:S170)</f>
        <v>0</v>
      </c>
      <c r="W170" s="67"/>
    </row>
    <row r="171" spans="1:23" ht="17.25" customHeight="1" outlineLevel="3">
      <c r="A171" s="48"/>
      <c r="B171" s="58"/>
      <c r="C171" s="59"/>
      <c r="D171" s="59"/>
      <c r="E171" s="60"/>
      <c r="F171" s="60"/>
      <c r="G171" s="61" t="s">
        <v>33</v>
      </c>
      <c r="H171" s="62"/>
      <c r="I171" s="63"/>
      <c r="J171" s="64"/>
      <c r="K171" s="206"/>
      <c r="L171" s="209"/>
      <c r="M171" s="69"/>
      <c r="N171" s="67"/>
      <c r="O171" s="67"/>
      <c r="P171" s="67"/>
      <c r="Q171" s="68"/>
      <c r="R171" s="68"/>
      <c r="S171" s="68"/>
      <c r="T171" s="67">
        <f>SUM(H171:N171)</f>
        <v>0</v>
      </c>
      <c r="U171" s="67"/>
      <c r="V171" s="67">
        <f t="shared" si="89"/>
        <v>0</v>
      </c>
      <c r="W171" s="67"/>
    </row>
    <row r="172" spans="1:23" ht="17.25" customHeight="1" outlineLevel="3">
      <c r="A172" s="48"/>
      <c r="B172" s="58"/>
      <c r="C172" s="59"/>
      <c r="D172" s="59"/>
      <c r="E172" s="60"/>
      <c r="F172" s="60"/>
      <c r="G172" s="61" t="s">
        <v>34</v>
      </c>
      <c r="H172" s="62"/>
      <c r="I172" s="63"/>
      <c r="J172" s="64"/>
      <c r="K172" s="206"/>
      <c r="L172" s="210"/>
      <c r="M172" s="92"/>
      <c r="N172" s="67"/>
      <c r="O172" s="67"/>
      <c r="P172" s="276">
        <v>1314.38</v>
      </c>
      <c r="Q172" s="67"/>
      <c r="R172" s="67"/>
      <c r="S172" s="68"/>
      <c r="T172" s="67">
        <f>SUM(H172:P172)</f>
        <v>1314.38</v>
      </c>
      <c r="U172" s="67"/>
      <c r="V172" s="67">
        <f t="shared" si="89"/>
        <v>0</v>
      </c>
      <c r="W172" s="67"/>
    </row>
    <row r="173" spans="1:23" ht="17.25" customHeight="1" outlineLevel="3">
      <c r="A173" s="48"/>
      <c r="B173" s="58"/>
      <c r="C173" s="59"/>
      <c r="D173" s="59"/>
      <c r="E173" s="60"/>
      <c r="F173" s="60"/>
      <c r="G173" s="61" t="s">
        <v>169</v>
      </c>
      <c r="H173" s="62"/>
      <c r="I173" s="63"/>
      <c r="J173" s="64"/>
      <c r="K173" s="206"/>
      <c r="L173" s="210"/>
      <c r="M173" s="92"/>
      <c r="N173" s="67"/>
      <c r="O173" s="67"/>
      <c r="P173" s="67"/>
      <c r="Q173" s="67"/>
      <c r="R173" s="67"/>
      <c r="S173" s="68"/>
      <c r="T173" s="67">
        <f t="shared" ref="T173:T175" si="90">SUM(H173:N173)</f>
        <v>0</v>
      </c>
      <c r="U173" s="67"/>
      <c r="V173" s="67">
        <f t="shared" si="89"/>
        <v>0</v>
      </c>
      <c r="W173" s="67"/>
    </row>
    <row r="174" spans="1:23" ht="17.25" customHeight="1" outlineLevel="3">
      <c r="A174" s="48"/>
      <c r="B174" s="58"/>
      <c r="C174" s="59"/>
      <c r="D174" s="59"/>
      <c r="E174" s="60"/>
      <c r="F174" s="60"/>
      <c r="G174" s="61" t="s">
        <v>36</v>
      </c>
      <c r="H174" s="62"/>
      <c r="I174" s="63"/>
      <c r="J174" s="64"/>
      <c r="K174" s="206"/>
      <c r="L174" s="209"/>
      <c r="M174" s="69"/>
      <c r="N174" s="67"/>
      <c r="O174" s="67"/>
      <c r="P174" s="67"/>
      <c r="Q174" s="67"/>
      <c r="R174" s="68"/>
      <c r="S174" s="68"/>
      <c r="T174" s="67">
        <f t="shared" si="90"/>
        <v>0</v>
      </c>
      <c r="U174" s="67"/>
      <c r="V174" s="67">
        <f>SUM(O174:S174)</f>
        <v>0</v>
      </c>
      <c r="W174" s="67"/>
    </row>
    <row r="175" spans="1:23" ht="17.25" customHeight="1" outlineLevel="3">
      <c r="A175" s="48"/>
      <c r="B175" s="58"/>
      <c r="C175" s="59"/>
      <c r="D175" s="59"/>
      <c r="E175" s="60"/>
      <c r="F175" s="60"/>
      <c r="G175" s="61" t="s">
        <v>151</v>
      </c>
      <c r="H175" s="62"/>
      <c r="I175" s="63"/>
      <c r="J175" s="64"/>
      <c r="K175" s="212"/>
      <c r="L175" s="209"/>
      <c r="M175" s="69"/>
      <c r="N175" s="67"/>
      <c r="O175" s="67"/>
      <c r="P175" s="67"/>
      <c r="Q175" s="67"/>
      <c r="R175" s="67"/>
      <c r="S175" s="68"/>
      <c r="T175" s="67">
        <f t="shared" si="90"/>
        <v>0</v>
      </c>
      <c r="U175" s="67"/>
      <c r="V175" s="67">
        <f>SUM(Q175:S175)</f>
        <v>0</v>
      </c>
      <c r="W175" s="67"/>
    </row>
    <row r="176" spans="1:23" ht="15.75" customHeight="1" outlineLevel="2">
      <c r="A176" s="48"/>
      <c r="B176" s="49">
        <v>7.5</v>
      </c>
      <c r="C176" s="329" t="s">
        <v>76</v>
      </c>
      <c r="D176" s="330"/>
      <c r="E176" s="166">
        <v>45869</v>
      </c>
      <c r="F176" s="49" t="s">
        <v>170</v>
      </c>
      <c r="G176" s="251"/>
      <c r="H176" s="57"/>
      <c r="I176" s="57"/>
      <c r="J176" s="169"/>
      <c r="K176" s="179"/>
      <c r="L176" s="223"/>
      <c r="M176" s="57"/>
      <c r="N176" s="91"/>
      <c r="O176" s="57"/>
      <c r="P176" s="57"/>
      <c r="Q176" s="57"/>
      <c r="R176" s="57"/>
      <c r="S176" s="57"/>
      <c r="T176" s="57">
        <f>SUM(T177:T182)</f>
        <v>15233.33</v>
      </c>
      <c r="U176" s="57"/>
      <c r="V176" s="57">
        <f>SUM(V177:V182)</f>
        <v>0</v>
      </c>
      <c r="W176" s="57"/>
    </row>
    <row r="177" spans="1:23" ht="17.25" customHeight="1" outlineLevel="3">
      <c r="A177" s="48"/>
      <c r="B177" s="58"/>
      <c r="C177" s="59"/>
      <c r="D177" s="59"/>
      <c r="E177" s="60"/>
      <c r="F177" s="60"/>
      <c r="G177" s="61" t="s">
        <v>32</v>
      </c>
      <c r="H177" s="62"/>
      <c r="I177" s="63"/>
      <c r="J177" s="64"/>
      <c r="K177" s="206"/>
      <c r="L177" s="209"/>
      <c r="M177" s="69"/>
      <c r="N177" s="252"/>
      <c r="O177" s="275">
        <v>3579</v>
      </c>
      <c r="P177" s="274">
        <v>2645</v>
      </c>
      <c r="Q177" s="67"/>
      <c r="R177" s="68"/>
      <c r="S177" s="68"/>
      <c r="T177" s="67">
        <f>SUM(H177:P177)</f>
        <v>6224</v>
      </c>
      <c r="U177" s="67"/>
      <c r="V177" s="67">
        <f t="shared" ref="V177:V182" si="91">SUM(Q177:S177)</f>
        <v>0</v>
      </c>
      <c r="W177" s="67"/>
    </row>
    <row r="178" spans="1:23" ht="17.25" customHeight="1" outlineLevel="3">
      <c r="A178" s="48"/>
      <c r="B178" s="58"/>
      <c r="C178" s="59"/>
      <c r="D178" s="59"/>
      <c r="E178" s="60"/>
      <c r="F178" s="60"/>
      <c r="G178" s="61" t="s">
        <v>33</v>
      </c>
      <c r="H178" s="62"/>
      <c r="I178" s="63"/>
      <c r="J178" s="64"/>
      <c r="K178" s="206"/>
      <c r="L178" s="209"/>
      <c r="M178" s="69"/>
      <c r="N178" s="252"/>
      <c r="O178" s="236"/>
      <c r="P178" s="253"/>
      <c r="Q178" s="67"/>
      <c r="R178" s="68"/>
      <c r="S178" s="68"/>
      <c r="T178" s="67">
        <f>SUM(H178:O178)</f>
        <v>0</v>
      </c>
      <c r="U178" s="67"/>
      <c r="V178" s="67">
        <f t="shared" si="91"/>
        <v>0</v>
      </c>
      <c r="W178" s="67"/>
    </row>
    <row r="179" spans="1:23" ht="17.25" customHeight="1" outlineLevel="3">
      <c r="A179" s="48"/>
      <c r="B179" s="58"/>
      <c r="C179" s="59"/>
      <c r="D179" s="59"/>
      <c r="E179" s="60"/>
      <c r="F179" s="60"/>
      <c r="G179" s="61" t="s">
        <v>34</v>
      </c>
      <c r="H179" s="62"/>
      <c r="I179" s="63"/>
      <c r="J179" s="64"/>
      <c r="K179" s="206"/>
      <c r="L179" s="210"/>
      <c r="M179" s="92"/>
      <c r="N179" s="252"/>
      <c r="O179" s="239">
        <v>1656.33</v>
      </c>
      <c r="P179" s="253">
        <v>817</v>
      </c>
      <c r="Q179" s="67"/>
      <c r="R179" s="68"/>
      <c r="S179" s="68"/>
      <c r="T179" s="67">
        <f t="shared" ref="T179:T182" si="92">SUM(H179:P179)</f>
        <v>2473.33</v>
      </c>
      <c r="U179" s="67"/>
      <c r="V179" s="67">
        <f t="shared" si="91"/>
        <v>0</v>
      </c>
      <c r="W179" s="67"/>
    </row>
    <row r="180" spans="1:23" ht="17.25" customHeight="1" outlineLevel="3">
      <c r="A180" s="48"/>
      <c r="B180" s="58"/>
      <c r="C180" s="59"/>
      <c r="D180" s="59"/>
      <c r="E180" s="60"/>
      <c r="F180" s="60"/>
      <c r="G180" s="61" t="s">
        <v>35</v>
      </c>
      <c r="H180" s="62"/>
      <c r="I180" s="63"/>
      <c r="J180" s="64"/>
      <c r="K180" s="206"/>
      <c r="L180" s="210"/>
      <c r="M180" s="92"/>
      <c r="N180" s="254"/>
      <c r="O180" s="239">
        <v>2394</v>
      </c>
      <c r="P180" s="239">
        <v>197</v>
      </c>
      <c r="Q180" s="67"/>
      <c r="R180" s="68"/>
      <c r="S180" s="68"/>
      <c r="T180" s="67">
        <f t="shared" si="92"/>
        <v>2591</v>
      </c>
      <c r="U180" s="67"/>
      <c r="V180" s="67">
        <f t="shared" si="91"/>
        <v>0</v>
      </c>
      <c r="W180" s="67"/>
    </row>
    <row r="181" spans="1:23" ht="17.25" customHeight="1" outlineLevel="3">
      <c r="A181" s="48"/>
      <c r="B181" s="58"/>
      <c r="C181" s="59"/>
      <c r="D181" s="59"/>
      <c r="E181" s="60"/>
      <c r="F181" s="60"/>
      <c r="G181" s="61" t="s">
        <v>36</v>
      </c>
      <c r="H181" s="62"/>
      <c r="I181" s="63"/>
      <c r="J181" s="64"/>
      <c r="K181" s="206"/>
      <c r="L181" s="209"/>
      <c r="M181" s="69"/>
      <c r="N181" s="255"/>
      <c r="O181" s="256"/>
      <c r="P181" s="253">
        <v>954</v>
      </c>
      <c r="Q181" s="67"/>
      <c r="R181" s="68"/>
      <c r="S181" s="68"/>
      <c r="T181" s="67">
        <f t="shared" si="92"/>
        <v>954</v>
      </c>
      <c r="U181" s="67"/>
      <c r="V181" s="67">
        <f t="shared" si="91"/>
        <v>0</v>
      </c>
      <c r="W181" s="67"/>
    </row>
    <row r="182" spans="1:23" ht="17.25" customHeight="1" outlineLevel="3">
      <c r="A182" s="48"/>
      <c r="B182" s="58"/>
      <c r="C182" s="59"/>
      <c r="D182" s="59"/>
      <c r="E182" s="60"/>
      <c r="F182" s="60"/>
      <c r="G182" s="61" t="s">
        <v>171</v>
      </c>
      <c r="H182" s="62"/>
      <c r="I182" s="63"/>
      <c r="J182" s="64"/>
      <c r="K182" s="212"/>
      <c r="L182" s="209"/>
      <c r="M182" s="69"/>
      <c r="N182" s="252"/>
      <c r="O182" s="236">
        <v>1937</v>
      </c>
      <c r="P182" s="253">
        <v>1054</v>
      </c>
      <c r="Q182" s="67"/>
      <c r="R182" s="68"/>
      <c r="S182" s="68"/>
      <c r="T182" s="67">
        <f t="shared" si="92"/>
        <v>2991</v>
      </c>
      <c r="U182" s="67"/>
      <c r="V182" s="67">
        <f t="shared" si="91"/>
        <v>0</v>
      </c>
      <c r="W182" s="67"/>
    </row>
    <row r="183" spans="1:23" ht="15.75" customHeight="1" outlineLevel="2">
      <c r="A183" s="48"/>
      <c r="B183" s="49">
        <v>7.9</v>
      </c>
      <c r="C183" s="329" t="s">
        <v>82</v>
      </c>
      <c r="D183" s="330"/>
      <c r="E183" s="49" t="s">
        <v>172</v>
      </c>
      <c r="F183" s="116">
        <v>45960</v>
      </c>
      <c r="G183" s="51"/>
      <c r="H183" s="57"/>
      <c r="I183" s="57"/>
      <c r="J183" s="169"/>
      <c r="K183" s="179"/>
      <c r="L183" s="223"/>
      <c r="M183" s="57"/>
      <c r="N183" s="57"/>
      <c r="O183" s="91"/>
      <c r="P183" s="91"/>
      <c r="Q183" s="57"/>
      <c r="R183" s="57"/>
      <c r="S183" s="57"/>
      <c r="T183" s="57">
        <f t="shared" ref="T183:W183" si="93">SUM(T184:T189)</f>
        <v>0</v>
      </c>
      <c r="U183" s="57">
        <f t="shared" si="93"/>
        <v>0</v>
      </c>
      <c r="V183" s="57">
        <f t="shared" si="93"/>
        <v>0</v>
      </c>
      <c r="W183" s="57">
        <f t="shared" si="93"/>
        <v>0</v>
      </c>
    </row>
    <row r="184" spans="1:23" ht="17.25" customHeight="1" outlineLevel="3">
      <c r="A184" s="48"/>
      <c r="B184" s="58"/>
      <c r="C184" s="59"/>
      <c r="D184" s="59"/>
      <c r="E184" s="60"/>
      <c r="F184" s="60"/>
      <c r="G184" s="61" t="s">
        <v>32</v>
      </c>
      <c r="H184" s="62"/>
      <c r="I184" s="63"/>
      <c r="J184" s="64"/>
      <c r="K184" s="206"/>
      <c r="L184" s="209"/>
      <c r="M184" s="69"/>
      <c r="N184" s="67"/>
      <c r="O184" s="67"/>
      <c r="P184" s="69"/>
      <c r="Q184" s="110"/>
      <c r="R184" s="110"/>
      <c r="S184" s="68"/>
      <c r="T184" s="67"/>
      <c r="U184" s="67"/>
      <c r="V184" s="67">
        <f t="shared" ref="V184:V189" si="94">SUM(P184:S184)</f>
        <v>0</v>
      </c>
      <c r="W184" s="67"/>
    </row>
    <row r="185" spans="1:23" ht="17.25" customHeight="1" outlineLevel="3">
      <c r="A185" s="48"/>
      <c r="B185" s="58"/>
      <c r="C185" s="59"/>
      <c r="D185" s="59"/>
      <c r="E185" s="60"/>
      <c r="F185" s="60"/>
      <c r="G185" s="61" t="s">
        <v>33</v>
      </c>
      <c r="H185" s="62"/>
      <c r="I185" s="63"/>
      <c r="J185" s="64"/>
      <c r="K185" s="206"/>
      <c r="L185" s="209"/>
      <c r="M185" s="69"/>
      <c r="N185" s="67"/>
      <c r="O185" s="67"/>
      <c r="P185" s="68"/>
      <c r="Q185" s="68"/>
      <c r="R185" s="68"/>
      <c r="S185" s="68"/>
      <c r="T185" s="67"/>
      <c r="U185" s="67"/>
      <c r="V185" s="67">
        <f t="shared" si="94"/>
        <v>0</v>
      </c>
      <c r="W185" s="67"/>
    </row>
    <row r="186" spans="1:23" ht="17.25" customHeight="1" outlineLevel="3">
      <c r="A186" s="48"/>
      <c r="B186" s="58"/>
      <c r="C186" s="59"/>
      <c r="D186" s="59"/>
      <c r="E186" s="60"/>
      <c r="F186" s="60"/>
      <c r="G186" s="61" t="s">
        <v>34</v>
      </c>
      <c r="H186" s="62"/>
      <c r="I186" s="63"/>
      <c r="J186" s="64"/>
      <c r="K186" s="206"/>
      <c r="L186" s="210"/>
      <c r="M186" s="92"/>
      <c r="N186" s="67"/>
      <c r="O186" s="67"/>
      <c r="P186" s="68"/>
      <c r="Q186" s="68"/>
      <c r="R186" s="68"/>
      <c r="S186" s="68"/>
      <c r="T186" s="67"/>
      <c r="U186" s="67"/>
      <c r="V186" s="67">
        <f t="shared" si="94"/>
        <v>0</v>
      </c>
      <c r="W186" s="67"/>
    </row>
    <row r="187" spans="1:23" ht="17.25" customHeight="1" outlineLevel="3">
      <c r="A187" s="48"/>
      <c r="B187" s="58"/>
      <c r="C187" s="59"/>
      <c r="D187" s="59"/>
      <c r="E187" s="60"/>
      <c r="F187" s="60"/>
      <c r="G187" s="61" t="s">
        <v>35</v>
      </c>
      <c r="H187" s="62"/>
      <c r="I187" s="63"/>
      <c r="J187" s="64"/>
      <c r="K187" s="206"/>
      <c r="L187" s="210"/>
      <c r="M187" s="92"/>
      <c r="N187" s="67"/>
      <c r="O187" s="67"/>
      <c r="P187" s="67"/>
      <c r="Q187" s="67"/>
      <c r="R187" s="68"/>
      <c r="S187" s="68"/>
      <c r="T187" s="67"/>
      <c r="U187" s="67"/>
      <c r="V187" s="67">
        <f t="shared" si="94"/>
        <v>0</v>
      </c>
      <c r="W187" s="67"/>
    </row>
    <row r="188" spans="1:23" ht="17.25" customHeight="1" outlineLevel="3">
      <c r="A188" s="48"/>
      <c r="B188" s="58"/>
      <c r="C188" s="59"/>
      <c r="D188" s="59"/>
      <c r="E188" s="60"/>
      <c r="F188" s="60"/>
      <c r="G188" s="61" t="s">
        <v>36</v>
      </c>
      <c r="H188" s="62"/>
      <c r="I188" s="63"/>
      <c r="J188" s="64"/>
      <c r="K188" s="206"/>
      <c r="L188" s="209"/>
      <c r="M188" s="69"/>
      <c r="N188" s="67"/>
      <c r="O188" s="67"/>
      <c r="P188" s="67"/>
      <c r="Q188" s="67"/>
      <c r="R188" s="68"/>
      <c r="S188" s="68"/>
      <c r="T188" s="67"/>
      <c r="U188" s="67"/>
      <c r="V188" s="67">
        <f t="shared" si="94"/>
        <v>0</v>
      </c>
      <c r="W188" s="67"/>
    </row>
    <row r="189" spans="1:23" ht="17.25" customHeight="1" outlineLevel="3">
      <c r="A189" s="48"/>
      <c r="B189" s="58"/>
      <c r="C189" s="59"/>
      <c r="D189" s="59"/>
      <c r="E189" s="60"/>
      <c r="F189" s="60"/>
      <c r="G189" s="61" t="s">
        <v>151</v>
      </c>
      <c r="H189" s="62"/>
      <c r="I189" s="63"/>
      <c r="J189" s="64"/>
      <c r="K189" s="212"/>
      <c r="L189" s="209"/>
      <c r="M189" s="69"/>
      <c r="N189" s="67"/>
      <c r="O189" s="67"/>
      <c r="Q189" s="67"/>
      <c r="R189" s="67"/>
      <c r="S189" s="68"/>
      <c r="T189" s="67"/>
      <c r="U189" s="67"/>
      <c r="V189" s="67">
        <f t="shared" si="94"/>
        <v>0</v>
      </c>
      <c r="W189" s="67"/>
    </row>
    <row r="190" spans="1:23" ht="15.75" customHeight="1" outlineLevel="2">
      <c r="A190" s="48"/>
      <c r="B190" s="49">
        <v>8</v>
      </c>
      <c r="C190" s="329" t="s">
        <v>173</v>
      </c>
      <c r="D190" s="330"/>
      <c r="E190" s="116">
        <v>45919</v>
      </c>
      <c r="F190" s="116">
        <v>45976</v>
      </c>
      <c r="G190" s="51"/>
      <c r="H190" s="57"/>
      <c r="I190" s="57"/>
      <c r="J190" s="169"/>
      <c r="K190" s="179"/>
      <c r="L190" s="223"/>
      <c r="M190" s="57"/>
      <c r="N190" s="57"/>
      <c r="O190" s="91"/>
      <c r="P190" s="91"/>
      <c r="Q190" s="57"/>
      <c r="R190" s="57"/>
      <c r="S190" s="57"/>
      <c r="T190" s="57">
        <f>SUM(T191:T196)</f>
        <v>7103.83</v>
      </c>
      <c r="U190" s="57">
        <f>SUM(U195:U201)</f>
        <v>0</v>
      </c>
      <c r="V190" s="57">
        <f>SUM(V191:V196)</f>
        <v>11160</v>
      </c>
      <c r="W190" s="57">
        <f>SUM(W195:W201)</f>
        <v>0</v>
      </c>
    </row>
    <row r="191" spans="1:23" ht="21" customHeight="1" outlineLevel="1">
      <c r="A191" s="19"/>
      <c r="B191" s="19"/>
      <c r="C191" s="19"/>
      <c r="D191" s="19"/>
      <c r="E191" s="19"/>
      <c r="F191" s="19"/>
      <c r="G191" s="61" t="s">
        <v>32</v>
      </c>
      <c r="H191" s="62"/>
      <c r="I191" s="63"/>
      <c r="J191" s="64"/>
      <c r="K191" s="206"/>
      <c r="L191" s="209"/>
      <c r="M191" s="69"/>
      <c r="N191" s="67"/>
      <c r="O191" s="67"/>
      <c r="P191" s="108">
        <v>1978</v>
      </c>
      <c r="Q191" s="108">
        <v>4160</v>
      </c>
      <c r="R191" s="68"/>
      <c r="S191" s="68"/>
      <c r="T191" s="67">
        <f t="shared" ref="T191:T192" si="95">SUM(H191:P191)</f>
        <v>1978</v>
      </c>
      <c r="U191" s="67"/>
      <c r="V191" s="67">
        <f>SUM(Q191:S191)</f>
        <v>4160</v>
      </c>
      <c r="W191" s="67"/>
    </row>
    <row r="192" spans="1:23" ht="21" customHeight="1" outlineLevel="1">
      <c r="A192" s="19"/>
      <c r="B192" s="19"/>
      <c r="C192" s="19"/>
      <c r="D192" s="19"/>
      <c r="E192" s="19"/>
      <c r="F192" s="19"/>
      <c r="G192" s="61" t="s">
        <v>33</v>
      </c>
      <c r="H192" s="62"/>
      <c r="I192" s="63"/>
      <c r="J192" s="64"/>
      <c r="K192" s="206"/>
      <c r="L192" s="209"/>
      <c r="M192" s="69"/>
      <c r="N192" s="67"/>
      <c r="O192" s="67"/>
      <c r="P192" s="67"/>
      <c r="Q192" s="68"/>
      <c r="R192" s="68"/>
      <c r="S192" s="68"/>
      <c r="T192" s="67">
        <f t="shared" si="95"/>
        <v>0</v>
      </c>
      <c r="U192" s="67"/>
      <c r="V192" s="67">
        <f>SUM(P192:S192)</f>
        <v>0</v>
      </c>
      <c r="W192" s="67"/>
    </row>
    <row r="193" spans="1:23" ht="21" customHeight="1" outlineLevel="1">
      <c r="A193" s="19"/>
      <c r="B193" s="19"/>
      <c r="C193" s="19"/>
      <c r="D193" s="19"/>
      <c r="E193" s="19"/>
      <c r="F193" s="19"/>
      <c r="G193" s="61" t="s">
        <v>34</v>
      </c>
      <c r="H193" s="62"/>
      <c r="I193" s="63"/>
      <c r="J193" s="64"/>
      <c r="K193" s="206"/>
      <c r="L193" s="210"/>
      <c r="M193" s="92"/>
      <c r="N193" s="67"/>
      <c r="O193" s="67"/>
      <c r="P193" s="276">
        <v>69</v>
      </c>
      <c r="Q193" s="216">
        <v>3087.83</v>
      </c>
      <c r="R193" s="67">
        <v>4000</v>
      </c>
      <c r="S193" s="68"/>
      <c r="T193" s="67">
        <f t="shared" ref="T193:T194" si="96">SUM(H193:Q193)</f>
        <v>3156.83</v>
      </c>
      <c r="U193" s="67"/>
      <c r="V193" s="67">
        <f t="shared" ref="V193:V194" si="97">SUM(R193:S193)</f>
        <v>4000</v>
      </c>
      <c r="W193" s="67"/>
    </row>
    <row r="194" spans="1:23" ht="21" customHeight="1" outlineLevel="1">
      <c r="A194" s="19"/>
      <c r="B194" s="19"/>
      <c r="C194" s="19"/>
      <c r="D194" s="19"/>
      <c r="E194" s="19"/>
      <c r="F194" s="19"/>
      <c r="G194" s="61" t="s">
        <v>35</v>
      </c>
      <c r="H194" s="62"/>
      <c r="I194" s="63"/>
      <c r="J194" s="64"/>
      <c r="K194" s="206"/>
      <c r="L194" s="210"/>
      <c r="M194" s="92"/>
      <c r="N194" s="67"/>
      <c r="O194" s="67"/>
      <c r="P194" s="276">
        <v>389</v>
      </c>
      <c r="Q194" s="216">
        <v>1580</v>
      </c>
      <c r="R194" s="67">
        <v>3000</v>
      </c>
      <c r="S194" s="68"/>
      <c r="T194" s="67">
        <f t="shared" si="96"/>
        <v>1969</v>
      </c>
      <c r="U194" s="67"/>
      <c r="V194" s="67">
        <f t="shared" si="97"/>
        <v>3000</v>
      </c>
      <c r="W194" s="67"/>
    </row>
    <row r="195" spans="1:23" ht="21" customHeight="1" outlineLevel="1">
      <c r="A195" s="19"/>
      <c r="B195" s="19"/>
      <c r="C195" s="19"/>
      <c r="D195" s="19"/>
      <c r="E195" s="19"/>
      <c r="F195" s="19"/>
      <c r="G195" s="61" t="s">
        <v>36</v>
      </c>
      <c r="H195" s="62"/>
      <c r="I195" s="63"/>
      <c r="J195" s="64"/>
      <c r="K195" s="206"/>
      <c r="L195" s="209"/>
      <c r="M195" s="69"/>
      <c r="N195" s="67"/>
      <c r="O195" s="67"/>
      <c r="P195" s="67"/>
      <c r="Q195" s="67"/>
      <c r="R195" s="68"/>
      <c r="S195" s="68"/>
      <c r="T195" s="67">
        <f>SUM(H195:O195)</f>
        <v>0</v>
      </c>
      <c r="U195" s="67"/>
      <c r="V195" s="67">
        <f t="shared" ref="V195:V196" si="98">SUM(P195:S195)</f>
        <v>0</v>
      </c>
      <c r="W195" s="67"/>
    </row>
    <row r="196" spans="1:23" ht="21" customHeight="1" outlineLevel="1">
      <c r="A196" s="19"/>
      <c r="B196" s="19"/>
      <c r="C196" s="19"/>
      <c r="D196" s="19"/>
      <c r="E196" s="19"/>
      <c r="F196" s="19"/>
      <c r="G196" s="61" t="s">
        <v>151</v>
      </c>
      <c r="H196" s="62"/>
      <c r="I196" s="63"/>
      <c r="J196" s="64"/>
      <c r="K196" s="212"/>
      <c r="L196" s="209"/>
      <c r="M196" s="69"/>
      <c r="N196" s="67"/>
      <c r="O196" s="67"/>
      <c r="P196" s="68"/>
      <c r="Q196" s="68"/>
      <c r="R196" s="68"/>
      <c r="S196" s="68"/>
      <c r="T196" s="67"/>
      <c r="U196" s="67"/>
      <c r="V196" s="67">
        <f t="shared" si="98"/>
        <v>0</v>
      </c>
      <c r="W196" s="67"/>
    </row>
    <row r="197" spans="1:23" ht="21" customHeight="1">
      <c r="A197" s="19"/>
      <c r="B197" s="39" t="s">
        <v>91</v>
      </c>
      <c r="C197" s="70" t="s">
        <v>92</v>
      </c>
      <c r="D197" s="42"/>
      <c r="E197" s="71"/>
      <c r="F197" s="71"/>
      <c r="G197" s="72"/>
      <c r="H197" s="111"/>
      <c r="I197" s="112"/>
      <c r="J197" s="113"/>
      <c r="K197" s="230"/>
      <c r="L197" s="231"/>
      <c r="M197" s="111"/>
      <c r="N197" s="111"/>
      <c r="O197" s="111"/>
      <c r="P197" s="111"/>
      <c r="Q197" s="111"/>
      <c r="R197" s="111"/>
      <c r="S197" s="111"/>
      <c r="T197" s="115">
        <f t="shared" ref="T197:W197" si="99">SUM(T198:T207)</f>
        <v>17662.93</v>
      </c>
      <c r="U197" s="115">
        <f t="shared" si="99"/>
        <v>0</v>
      </c>
      <c r="V197" s="115">
        <f t="shared" si="99"/>
        <v>1670</v>
      </c>
      <c r="W197" s="115">
        <f t="shared" si="99"/>
        <v>0</v>
      </c>
    </row>
    <row r="198" spans="1:23" ht="15.75" customHeight="1" outlineLevel="1">
      <c r="A198" s="48"/>
      <c r="B198" s="168"/>
      <c r="C198" s="332" t="s">
        <v>152</v>
      </c>
      <c r="D198" s="330"/>
      <c r="E198" s="50">
        <v>45748</v>
      </c>
      <c r="F198" s="50">
        <v>45716</v>
      </c>
      <c r="G198" s="61" t="s">
        <v>34</v>
      </c>
      <c r="H198" s="69"/>
      <c r="I198" s="69"/>
      <c r="J198" s="149"/>
      <c r="K198" s="206">
        <v>210</v>
      </c>
      <c r="L198" s="209">
        <v>424</v>
      </c>
      <c r="M198" s="69">
        <v>399</v>
      </c>
      <c r="N198" s="69">
        <v>401</v>
      </c>
      <c r="O198" s="297">
        <v>473.55</v>
      </c>
      <c r="P198" s="69"/>
      <c r="Q198" s="69"/>
      <c r="R198" s="69"/>
      <c r="S198" s="69"/>
      <c r="T198" s="69">
        <f>SUM(H198:P198)</f>
        <v>1907.55</v>
      </c>
      <c r="U198" s="69"/>
      <c r="V198" s="69">
        <f>SUM(Q198:S198)</f>
        <v>0</v>
      </c>
      <c r="W198" s="69"/>
    </row>
    <row r="199" spans="1:23" ht="15.75" customHeight="1" outlineLevel="1">
      <c r="A199" s="48"/>
      <c r="B199" s="168"/>
      <c r="C199" s="332" t="s">
        <v>153</v>
      </c>
      <c r="D199" s="330"/>
      <c r="E199" s="50">
        <v>45778</v>
      </c>
      <c r="F199" s="50">
        <v>45991</v>
      </c>
      <c r="G199" s="61" t="s">
        <v>34</v>
      </c>
      <c r="H199" s="69"/>
      <c r="I199" s="69"/>
      <c r="J199" s="149"/>
      <c r="K199" s="206">
        <v>1099</v>
      </c>
      <c r="L199" s="209">
        <v>150</v>
      </c>
      <c r="M199" s="69">
        <v>255</v>
      </c>
      <c r="N199" s="69">
        <v>150</v>
      </c>
      <c r="O199" s="297">
        <v>0</v>
      </c>
      <c r="P199" s="297">
        <v>158</v>
      </c>
      <c r="Q199" s="248">
        <v>628</v>
      </c>
      <c r="R199" s="69">
        <v>430</v>
      </c>
      <c r="S199" s="69"/>
      <c r="T199" s="69">
        <f>SUM(H199:Q199)</f>
        <v>2440</v>
      </c>
      <c r="U199" s="69"/>
      <c r="V199" s="69">
        <f>SUM(R199:S199)</f>
        <v>430</v>
      </c>
      <c r="W199" s="69"/>
    </row>
    <row r="200" spans="1:23" ht="15.75" customHeight="1" outlineLevel="1">
      <c r="A200" s="48"/>
      <c r="B200" s="168"/>
      <c r="C200" s="332" t="s">
        <v>154</v>
      </c>
      <c r="D200" s="330"/>
      <c r="E200" s="50">
        <v>45901</v>
      </c>
      <c r="F200" s="50">
        <v>46021</v>
      </c>
      <c r="G200" s="61" t="s">
        <v>34</v>
      </c>
      <c r="H200" s="69"/>
      <c r="I200" s="69"/>
      <c r="J200" s="149"/>
      <c r="K200" s="206"/>
      <c r="L200" s="209"/>
      <c r="M200" s="69"/>
      <c r="N200" s="69"/>
      <c r="O200" s="297"/>
      <c r="P200" s="297"/>
      <c r="Q200" s="69"/>
      <c r="R200" s="69"/>
      <c r="S200" s="69"/>
      <c r="T200" s="69">
        <f t="shared" ref="T200:T206" si="100">SUM(H200:P200)</f>
        <v>0</v>
      </c>
      <c r="U200" s="69"/>
      <c r="V200" s="69">
        <f t="shared" ref="V200:V206" si="101">SUM(Q200:S200)</f>
        <v>0</v>
      </c>
      <c r="W200" s="69"/>
    </row>
    <row r="201" spans="1:23" ht="15.75" customHeight="1" outlineLevel="1">
      <c r="A201" s="48"/>
      <c r="B201" s="168"/>
      <c r="C201" s="329" t="s">
        <v>155</v>
      </c>
      <c r="D201" s="330"/>
      <c r="E201" s="50">
        <v>45809</v>
      </c>
      <c r="F201" s="50">
        <v>45960</v>
      </c>
      <c r="G201" s="61" t="s">
        <v>34</v>
      </c>
      <c r="H201" s="69"/>
      <c r="I201" s="69"/>
      <c r="J201" s="149"/>
      <c r="K201" s="206"/>
      <c r="L201" s="209"/>
      <c r="M201" s="69"/>
      <c r="N201" s="69">
        <v>0</v>
      </c>
      <c r="O201" s="297">
        <v>0</v>
      </c>
      <c r="P201" s="297"/>
      <c r="Q201" s="69"/>
      <c r="R201" s="69">
        <v>500</v>
      </c>
      <c r="S201" s="69"/>
      <c r="T201" s="69">
        <f t="shared" si="100"/>
        <v>0</v>
      </c>
      <c r="U201" s="69"/>
      <c r="V201" s="69">
        <f t="shared" si="101"/>
        <v>500</v>
      </c>
      <c r="W201" s="69"/>
    </row>
    <row r="202" spans="1:23" ht="15.75" customHeight="1" outlineLevel="1">
      <c r="A202" s="48"/>
      <c r="B202" s="168"/>
      <c r="C202" s="329" t="s">
        <v>174</v>
      </c>
      <c r="D202" s="330"/>
      <c r="E202" s="50">
        <v>45870</v>
      </c>
      <c r="F202" s="50">
        <v>45930</v>
      </c>
      <c r="G202" s="61" t="s">
        <v>34</v>
      </c>
      <c r="H202" s="69"/>
      <c r="I202" s="69"/>
      <c r="J202" s="149"/>
      <c r="K202" s="206"/>
      <c r="L202" s="209"/>
      <c r="M202" s="69"/>
      <c r="N202" s="69">
        <v>0</v>
      </c>
      <c r="O202" s="297">
        <v>1569.46</v>
      </c>
      <c r="P202" s="297">
        <v>429.59</v>
      </c>
      <c r="Q202" s="69"/>
      <c r="R202" s="69"/>
      <c r="S202" s="69"/>
      <c r="T202" s="69">
        <f t="shared" si="100"/>
        <v>1999.05</v>
      </c>
      <c r="U202" s="69"/>
      <c r="V202" s="69">
        <f t="shared" si="101"/>
        <v>0</v>
      </c>
      <c r="W202" s="69"/>
    </row>
    <row r="203" spans="1:23" ht="15.75" customHeight="1" outlineLevel="1">
      <c r="A203" s="48"/>
      <c r="B203" s="49"/>
      <c r="C203" s="329" t="s">
        <v>157</v>
      </c>
      <c r="D203" s="330"/>
      <c r="E203" s="50">
        <v>45809</v>
      </c>
      <c r="F203" s="50">
        <v>45869</v>
      </c>
      <c r="G203" s="61" t="s">
        <v>34</v>
      </c>
      <c r="H203" s="69"/>
      <c r="I203" s="69"/>
      <c r="J203" s="149"/>
      <c r="K203" s="206"/>
      <c r="L203" s="209"/>
      <c r="M203" s="69">
        <v>1563</v>
      </c>
      <c r="N203" s="69">
        <v>1462</v>
      </c>
      <c r="O203" s="69"/>
      <c r="P203" s="297"/>
      <c r="Q203" s="69"/>
      <c r="R203" s="69"/>
      <c r="S203" s="69"/>
      <c r="T203" s="69">
        <f t="shared" si="100"/>
        <v>3025</v>
      </c>
      <c r="U203" s="69"/>
      <c r="V203" s="69">
        <f t="shared" si="101"/>
        <v>0</v>
      </c>
      <c r="W203" s="69"/>
    </row>
    <row r="204" spans="1:23" ht="15.75" customHeight="1" outlineLevel="1">
      <c r="A204" s="48"/>
      <c r="B204" s="49"/>
      <c r="C204" s="329" t="s">
        <v>105</v>
      </c>
      <c r="D204" s="330"/>
      <c r="E204" s="50">
        <v>45717</v>
      </c>
      <c r="F204" s="50">
        <v>45746</v>
      </c>
      <c r="G204" s="61" t="s">
        <v>34</v>
      </c>
      <c r="H204" s="130"/>
      <c r="I204" s="130"/>
      <c r="J204" s="206">
        <v>145</v>
      </c>
      <c r="K204" s="206">
        <v>975</v>
      </c>
      <c r="L204" s="209">
        <v>975</v>
      </c>
      <c r="M204" s="258">
        <v>978</v>
      </c>
      <c r="N204" s="258">
        <v>557</v>
      </c>
      <c r="O204" s="130"/>
      <c r="P204" s="299"/>
      <c r="Q204" s="130"/>
      <c r="R204" s="130"/>
      <c r="S204" s="130"/>
      <c r="T204" s="69">
        <f t="shared" si="100"/>
        <v>3630</v>
      </c>
      <c r="U204" s="130"/>
      <c r="V204" s="69">
        <f t="shared" si="101"/>
        <v>0</v>
      </c>
      <c r="W204" s="130"/>
    </row>
    <row r="205" spans="1:23" ht="15.75" customHeight="1" outlineLevel="1">
      <c r="A205" s="48"/>
      <c r="B205" s="49"/>
      <c r="C205" s="329" t="s">
        <v>158</v>
      </c>
      <c r="D205" s="330"/>
      <c r="E205" s="50">
        <v>45870</v>
      </c>
      <c r="F205" s="50">
        <v>45915</v>
      </c>
      <c r="G205" s="61" t="s">
        <v>34</v>
      </c>
      <c r="H205" s="130"/>
      <c r="I205" s="130"/>
      <c r="J205" s="206"/>
      <c r="K205" s="206"/>
      <c r="L205" s="209"/>
      <c r="M205" s="258"/>
      <c r="N205" s="258"/>
      <c r="O205" s="130"/>
      <c r="P205" s="299"/>
      <c r="Q205" s="130"/>
      <c r="R205" s="130"/>
      <c r="S205" s="130"/>
      <c r="T205" s="69">
        <f t="shared" si="100"/>
        <v>0</v>
      </c>
      <c r="U205" s="130"/>
      <c r="V205" s="69">
        <f t="shared" si="101"/>
        <v>0</v>
      </c>
      <c r="W205" s="130"/>
    </row>
    <row r="206" spans="1:23" ht="15.75" customHeight="1" outlineLevel="1">
      <c r="A206" s="48"/>
      <c r="B206" s="168"/>
      <c r="C206" s="329" t="s">
        <v>159</v>
      </c>
      <c r="D206" s="330"/>
      <c r="E206" s="50">
        <v>45828</v>
      </c>
      <c r="F206" s="50">
        <v>45838</v>
      </c>
      <c r="G206" s="61" t="s">
        <v>34</v>
      </c>
      <c r="H206" s="69"/>
      <c r="I206" s="69"/>
      <c r="J206" s="149" t="s">
        <v>160</v>
      </c>
      <c r="K206" s="206"/>
      <c r="L206" s="209"/>
      <c r="M206" s="69"/>
      <c r="N206" s="69"/>
      <c r="O206" s="69"/>
      <c r="P206" s="297"/>
      <c r="Q206" s="69"/>
      <c r="R206" s="69"/>
      <c r="S206" s="69"/>
      <c r="T206" s="69">
        <f t="shared" si="100"/>
        <v>0</v>
      </c>
      <c r="U206" s="69"/>
      <c r="V206" s="69">
        <f t="shared" si="101"/>
        <v>0</v>
      </c>
      <c r="W206" s="69"/>
    </row>
    <row r="207" spans="1:23" ht="15.75" customHeight="1" outlineLevel="1">
      <c r="A207" s="48"/>
      <c r="B207" s="168"/>
      <c r="C207" s="332" t="s">
        <v>94</v>
      </c>
      <c r="D207" s="330"/>
      <c r="E207" s="50"/>
      <c r="F207" s="50"/>
      <c r="G207" s="61" t="s">
        <v>34</v>
      </c>
      <c r="H207" s="69">
        <v>307</v>
      </c>
      <c r="I207" s="69">
        <v>1533</v>
      </c>
      <c r="J207" s="149">
        <v>204</v>
      </c>
      <c r="K207" s="206">
        <v>1099</v>
      </c>
      <c r="L207" s="209"/>
      <c r="M207" s="69"/>
      <c r="N207" s="69"/>
      <c r="O207" s="297">
        <v>981.09</v>
      </c>
      <c r="P207" s="297">
        <v>394.71</v>
      </c>
      <c r="Q207" s="248">
        <v>142.53</v>
      </c>
      <c r="R207" s="69">
        <v>370</v>
      </c>
      <c r="S207" s="69">
        <v>370</v>
      </c>
      <c r="T207" s="69">
        <f>SUM(H207:Q207)</f>
        <v>4661.33</v>
      </c>
      <c r="U207" s="69"/>
      <c r="V207" s="69">
        <f>SUM(R207:S207)</f>
        <v>740</v>
      </c>
      <c r="W207" s="69"/>
    </row>
    <row r="208" spans="1:23" ht="21" customHeight="1">
      <c r="A208" s="19"/>
      <c r="B208" s="31">
        <v>8</v>
      </c>
      <c r="C208" s="32" t="s">
        <v>95</v>
      </c>
      <c r="D208" s="33"/>
      <c r="E208" s="33"/>
      <c r="F208" s="33"/>
      <c r="G208" s="173"/>
      <c r="H208" s="173"/>
      <c r="I208" s="173"/>
      <c r="J208" s="173"/>
      <c r="K208" s="260"/>
      <c r="L208" s="261"/>
      <c r="M208" s="173"/>
      <c r="N208" s="173"/>
      <c r="O208" s="300"/>
      <c r="P208" s="173"/>
      <c r="Q208" s="173"/>
      <c r="R208" s="173"/>
      <c r="S208" s="173"/>
      <c r="T208" s="175">
        <f t="shared" ref="T208:W208" si="102">T209+T214+T218+T222+T223+T224+T225</f>
        <v>0</v>
      </c>
      <c r="U208" s="175">
        <f t="shared" si="102"/>
        <v>309864.63</v>
      </c>
      <c r="V208" s="175">
        <f t="shared" si="102"/>
        <v>0</v>
      </c>
      <c r="W208" s="175">
        <f t="shared" si="102"/>
        <v>62000</v>
      </c>
    </row>
    <row r="209" spans="1:23" ht="15.75" customHeight="1" outlineLevel="1">
      <c r="A209" s="48"/>
      <c r="B209" s="49">
        <v>8.1</v>
      </c>
      <c r="C209" s="329" t="s">
        <v>96</v>
      </c>
      <c r="D209" s="330"/>
      <c r="E209" s="50">
        <v>45658</v>
      </c>
      <c r="F209" s="50">
        <v>46021</v>
      </c>
      <c r="G209" s="135"/>
      <c r="H209" s="57"/>
      <c r="I209" s="57"/>
      <c r="J209" s="169"/>
      <c r="K209" s="179"/>
      <c r="L209" s="223"/>
      <c r="M209" s="57"/>
      <c r="N209" s="57"/>
      <c r="O209" s="57"/>
      <c r="P209" s="57"/>
      <c r="Q209" s="57"/>
      <c r="R209" s="57"/>
      <c r="S209" s="57"/>
      <c r="T209" s="57"/>
      <c r="U209" s="57">
        <f>SUM(U210:U213)</f>
        <v>141316.4</v>
      </c>
      <c r="V209" s="57"/>
      <c r="W209" s="57">
        <f>SUM(W210:W213)</f>
        <v>30500</v>
      </c>
    </row>
    <row r="210" spans="1:23" ht="17.25" customHeight="1" outlineLevel="2">
      <c r="A210" s="48"/>
      <c r="B210" s="58"/>
      <c r="C210" s="59"/>
      <c r="D210" s="59"/>
      <c r="E210" s="60"/>
      <c r="F210" s="60"/>
      <c r="G210" s="61" t="s">
        <v>33</v>
      </c>
      <c r="H210" s="69"/>
      <c r="I210" s="69"/>
      <c r="J210" s="149"/>
      <c r="K210" s="206"/>
      <c r="L210" s="209">
        <v>5909</v>
      </c>
      <c r="M210" s="69">
        <v>7163</v>
      </c>
      <c r="N210" s="69">
        <v>2547</v>
      </c>
      <c r="O210" s="297">
        <v>5357</v>
      </c>
      <c r="P210" s="297">
        <v>5339.77</v>
      </c>
      <c r="Q210" s="248">
        <v>82.46</v>
      </c>
      <c r="R210" s="69"/>
      <c r="S210" s="69"/>
      <c r="T210" s="69"/>
      <c r="U210" s="69">
        <f t="shared" ref="U210:U212" si="103">SUM(H210:Q210)</f>
        <v>26398.23</v>
      </c>
      <c r="V210" s="69"/>
      <c r="W210" s="69">
        <f t="shared" ref="W210:W212" si="104">SUM(R210:S210)</f>
        <v>0</v>
      </c>
    </row>
    <row r="211" spans="1:23" ht="17.25" customHeight="1" outlineLevel="2">
      <c r="A211" s="48"/>
      <c r="B211" s="58"/>
      <c r="C211" s="59"/>
      <c r="D211" s="59"/>
      <c r="E211" s="60"/>
      <c r="F211" s="60"/>
      <c r="G211" s="61" t="s">
        <v>34</v>
      </c>
      <c r="H211" s="69">
        <v>4044</v>
      </c>
      <c r="I211" s="69">
        <v>5871</v>
      </c>
      <c r="J211" s="149">
        <v>9837</v>
      </c>
      <c r="K211" s="206">
        <v>3628</v>
      </c>
      <c r="L211" s="209">
        <v>3426</v>
      </c>
      <c r="M211" s="69">
        <v>10341</v>
      </c>
      <c r="N211" s="69">
        <v>14861</v>
      </c>
      <c r="O211" s="297">
        <v>4994</v>
      </c>
      <c r="P211" s="297">
        <v>3899.48</v>
      </c>
      <c r="Q211" s="248">
        <v>4963.96</v>
      </c>
      <c r="R211" s="69">
        <v>8000</v>
      </c>
      <c r="S211" s="69">
        <v>6000</v>
      </c>
      <c r="T211" s="69"/>
      <c r="U211" s="69">
        <f t="shared" si="103"/>
        <v>65865.440000000002</v>
      </c>
      <c r="V211" s="69"/>
      <c r="W211" s="69">
        <f t="shared" si="104"/>
        <v>14000</v>
      </c>
    </row>
    <row r="212" spans="1:23" ht="15.75" customHeight="1" outlineLevel="2">
      <c r="A212" s="48"/>
      <c r="B212" s="58"/>
      <c r="C212" s="59"/>
      <c r="D212" s="59"/>
      <c r="E212" s="60"/>
      <c r="F212" s="60"/>
      <c r="G212" s="61" t="s">
        <v>175</v>
      </c>
      <c r="H212" s="69">
        <v>3557</v>
      </c>
      <c r="I212" s="69">
        <v>3303</v>
      </c>
      <c r="J212" s="149">
        <v>6880</v>
      </c>
      <c r="K212" s="206">
        <v>7721</v>
      </c>
      <c r="L212" s="209">
        <v>6986</v>
      </c>
      <c r="M212" s="69">
        <v>4192</v>
      </c>
      <c r="N212" s="69">
        <v>3070</v>
      </c>
      <c r="O212" s="297"/>
      <c r="P212" s="69"/>
      <c r="Q212" s="301">
        <v>2351.73</v>
      </c>
      <c r="R212" s="69">
        <v>10000</v>
      </c>
      <c r="S212" s="69">
        <v>6500</v>
      </c>
      <c r="T212" s="69"/>
      <c r="U212" s="69">
        <f t="shared" si="103"/>
        <v>38060.730000000003</v>
      </c>
      <c r="V212" s="69"/>
      <c r="W212" s="69">
        <f t="shared" si="104"/>
        <v>16500</v>
      </c>
    </row>
    <row r="213" spans="1:23" ht="15.75" customHeight="1" outlineLevel="2">
      <c r="A213" s="48"/>
      <c r="B213" s="58"/>
      <c r="C213" s="59"/>
      <c r="D213" s="59"/>
      <c r="E213" s="60"/>
      <c r="F213" s="60"/>
      <c r="G213" s="61" t="s">
        <v>97</v>
      </c>
      <c r="H213" s="69">
        <v>1534</v>
      </c>
      <c r="I213" s="69">
        <v>1534</v>
      </c>
      <c r="J213" s="149">
        <v>1534</v>
      </c>
      <c r="K213" s="206">
        <v>1278</v>
      </c>
      <c r="L213" s="209">
        <v>1278</v>
      </c>
      <c r="M213" s="69">
        <v>1278</v>
      </c>
      <c r="N213" s="69">
        <v>1278</v>
      </c>
      <c r="O213" s="297">
        <v>1278</v>
      </c>
      <c r="P213" s="69"/>
      <c r="Q213" s="69"/>
      <c r="R213" s="69"/>
      <c r="S213" s="69"/>
      <c r="T213" s="69"/>
      <c r="U213" s="69">
        <f>SUM(H213:P213)</f>
        <v>10992</v>
      </c>
      <c r="V213" s="69"/>
      <c r="W213" s="69">
        <f>SUM(Q213:S213)</f>
        <v>0</v>
      </c>
    </row>
    <row r="214" spans="1:23" ht="15.75" customHeight="1" outlineLevel="1">
      <c r="A214" s="48"/>
      <c r="B214" s="49">
        <v>8.1999999999999993</v>
      </c>
      <c r="C214" s="329" t="s">
        <v>161</v>
      </c>
      <c r="D214" s="330"/>
      <c r="E214" s="50">
        <v>45658</v>
      </c>
      <c r="F214" s="50">
        <v>46021</v>
      </c>
      <c r="G214" s="135"/>
      <c r="H214" s="57"/>
      <c r="I214" s="57"/>
      <c r="J214" s="169"/>
      <c r="K214" s="179"/>
      <c r="L214" s="223"/>
      <c r="M214" s="57"/>
      <c r="N214" s="57"/>
      <c r="O214" s="302"/>
      <c r="P214" s="57"/>
      <c r="Q214" s="57"/>
      <c r="R214" s="57"/>
      <c r="S214" s="57"/>
      <c r="T214" s="57"/>
      <c r="U214" s="57">
        <f>SUM(U215:U217)</f>
        <v>5625</v>
      </c>
      <c r="V214" s="57"/>
      <c r="W214" s="57">
        <f>SUM(W215:W217)</f>
        <v>0</v>
      </c>
    </row>
    <row r="215" spans="1:23" ht="15.75" customHeight="1" outlineLevel="2">
      <c r="A215" s="48"/>
      <c r="B215" s="58"/>
      <c r="C215" s="59"/>
      <c r="D215" s="59"/>
      <c r="E215" s="60"/>
      <c r="F215" s="60"/>
      <c r="G215" s="61" t="s">
        <v>33</v>
      </c>
      <c r="H215" s="69"/>
      <c r="I215" s="69"/>
      <c r="J215" s="149"/>
      <c r="K215" s="206"/>
      <c r="L215" s="209"/>
      <c r="M215" s="69"/>
      <c r="N215" s="69"/>
      <c r="O215" s="297"/>
      <c r="P215" s="69"/>
      <c r="Q215" s="69"/>
      <c r="R215" s="69"/>
      <c r="S215" s="69"/>
      <c r="T215" s="69"/>
      <c r="U215" s="69">
        <f t="shared" ref="U215:U217" si="105">SUM(H215:M215)</f>
        <v>0</v>
      </c>
      <c r="V215" s="69"/>
      <c r="W215" s="176"/>
    </row>
    <row r="216" spans="1:23" ht="15.75" customHeight="1" outlineLevel="2">
      <c r="A216" s="48"/>
      <c r="B216" s="58"/>
      <c r="C216" s="59"/>
      <c r="D216" s="59"/>
      <c r="E216" s="60"/>
      <c r="F216" s="60"/>
      <c r="G216" s="61" t="s">
        <v>34</v>
      </c>
      <c r="H216" s="69">
        <v>1277</v>
      </c>
      <c r="I216" s="69">
        <v>1022</v>
      </c>
      <c r="J216" s="149"/>
      <c r="K216" s="206"/>
      <c r="L216" s="209"/>
      <c r="M216" s="69"/>
      <c r="N216" s="69"/>
      <c r="O216" s="297"/>
      <c r="P216" s="69"/>
      <c r="Q216" s="69"/>
      <c r="R216" s="69"/>
      <c r="S216" s="69"/>
      <c r="T216" s="69"/>
      <c r="U216" s="69">
        <f t="shared" si="105"/>
        <v>2299</v>
      </c>
      <c r="V216" s="69"/>
      <c r="W216" s="176"/>
    </row>
    <row r="217" spans="1:23" ht="15.75" customHeight="1" outlineLevel="2">
      <c r="A217" s="48"/>
      <c r="B217" s="58"/>
      <c r="C217" s="59"/>
      <c r="D217" s="59"/>
      <c r="E217" s="60"/>
      <c r="F217" s="60"/>
      <c r="G217" s="61" t="s">
        <v>85</v>
      </c>
      <c r="H217" s="69">
        <v>758</v>
      </c>
      <c r="I217" s="69">
        <v>767</v>
      </c>
      <c r="J217" s="149"/>
      <c r="K217" s="206">
        <v>1801</v>
      </c>
      <c r="L217" s="209"/>
      <c r="M217" s="69"/>
      <c r="N217" s="69"/>
      <c r="O217" s="297"/>
      <c r="P217" s="69"/>
      <c r="Q217" s="69"/>
      <c r="R217" s="69"/>
      <c r="S217" s="69"/>
      <c r="T217" s="69"/>
      <c r="U217" s="69">
        <f t="shared" si="105"/>
        <v>3326</v>
      </c>
      <c r="V217" s="69"/>
      <c r="W217" s="176"/>
    </row>
    <row r="218" spans="1:23" ht="15.75" customHeight="1" outlineLevel="1">
      <c r="A218" s="48"/>
      <c r="B218" s="49">
        <v>8.3000000000000007</v>
      </c>
      <c r="C218" s="329" t="s">
        <v>99</v>
      </c>
      <c r="D218" s="330"/>
      <c r="E218" s="50">
        <v>45658</v>
      </c>
      <c r="F218" s="50">
        <v>46021</v>
      </c>
      <c r="G218" s="135"/>
      <c r="H218" s="57"/>
      <c r="I218" s="57"/>
      <c r="J218" s="169"/>
      <c r="K218" s="179"/>
      <c r="L218" s="223"/>
      <c r="M218" s="57"/>
      <c r="N218" s="57"/>
      <c r="O218" s="302"/>
      <c r="P218" s="57"/>
      <c r="Q218" s="57"/>
      <c r="R218" s="57"/>
      <c r="S218" s="57"/>
      <c r="T218" s="57"/>
      <c r="U218" s="57">
        <f>SUM(U219:U221)</f>
        <v>2291</v>
      </c>
      <c r="V218" s="57"/>
      <c r="W218" s="57">
        <f>SUM(W219:W221)</f>
        <v>0</v>
      </c>
    </row>
    <row r="219" spans="1:23" ht="17.25" customHeight="1" outlineLevel="2">
      <c r="A219" s="48"/>
      <c r="B219" s="58"/>
      <c r="C219" s="59"/>
      <c r="D219" s="59"/>
      <c r="E219" s="60"/>
      <c r="F219" s="60"/>
      <c r="G219" s="61" t="s">
        <v>33</v>
      </c>
      <c r="H219" s="69"/>
      <c r="I219" s="69"/>
      <c r="J219" s="149"/>
      <c r="K219" s="206"/>
      <c r="L219" s="209"/>
      <c r="M219" s="69"/>
      <c r="N219" s="69"/>
      <c r="O219" s="297"/>
      <c r="P219" s="69"/>
      <c r="Q219" s="69"/>
      <c r="R219" s="69"/>
      <c r="S219" s="69"/>
      <c r="T219" s="69"/>
      <c r="U219" s="69">
        <f t="shared" ref="U219:U221" si="106">SUM(H219:M219)</f>
        <v>0</v>
      </c>
      <c r="V219" s="69"/>
      <c r="W219" s="69">
        <f t="shared" ref="W219:W221" si="107">SUM(N219:S219)</f>
        <v>0</v>
      </c>
    </row>
    <row r="220" spans="1:23" ht="17.25" customHeight="1" outlineLevel="2">
      <c r="A220" s="48"/>
      <c r="B220" s="58"/>
      <c r="C220" s="59"/>
      <c r="D220" s="59"/>
      <c r="E220" s="60"/>
      <c r="F220" s="60"/>
      <c r="G220" s="61" t="s">
        <v>34</v>
      </c>
      <c r="H220" s="69">
        <v>1255</v>
      </c>
      <c r="I220" s="69">
        <v>276</v>
      </c>
      <c r="J220" s="149"/>
      <c r="K220" s="206"/>
      <c r="L220" s="209"/>
      <c r="M220" s="69"/>
      <c r="N220" s="69"/>
      <c r="O220" s="297"/>
      <c r="P220" s="69"/>
      <c r="Q220" s="69"/>
      <c r="R220" s="69"/>
      <c r="S220" s="69"/>
      <c r="T220" s="69"/>
      <c r="U220" s="69">
        <f t="shared" si="106"/>
        <v>1531</v>
      </c>
      <c r="V220" s="69"/>
      <c r="W220" s="69">
        <f t="shared" si="107"/>
        <v>0</v>
      </c>
    </row>
    <row r="221" spans="1:23" ht="15.75" customHeight="1" outlineLevel="2">
      <c r="A221" s="48"/>
      <c r="B221" s="58"/>
      <c r="C221" s="59"/>
      <c r="D221" s="59"/>
      <c r="E221" s="60"/>
      <c r="F221" s="60"/>
      <c r="G221" s="61" t="s">
        <v>85</v>
      </c>
      <c r="H221" s="69"/>
      <c r="I221" s="69">
        <v>760</v>
      </c>
      <c r="J221" s="149"/>
      <c r="K221" s="206"/>
      <c r="L221" s="209"/>
      <c r="M221" s="69"/>
      <c r="N221" s="69"/>
      <c r="O221" s="297"/>
      <c r="P221" s="69"/>
      <c r="Q221" s="69"/>
      <c r="R221" s="69"/>
      <c r="S221" s="69"/>
      <c r="T221" s="69"/>
      <c r="U221" s="69">
        <f t="shared" si="106"/>
        <v>760</v>
      </c>
      <c r="V221" s="69"/>
      <c r="W221" s="69">
        <f t="shared" si="107"/>
        <v>0</v>
      </c>
    </row>
    <row r="222" spans="1:23" ht="15.75" customHeight="1" outlineLevel="1">
      <c r="A222" s="48"/>
      <c r="B222" s="49">
        <v>8.5</v>
      </c>
      <c r="C222" s="332" t="s">
        <v>162</v>
      </c>
      <c r="D222" s="330"/>
      <c r="E222" s="50">
        <v>45797</v>
      </c>
      <c r="F222" s="50">
        <v>46021</v>
      </c>
      <c r="G222" s="177" t="s">
        <v>36</v>
      </c>
      <c r="H222" s="57"/>
      <c r="I222" s="57"/>
      <c r="J222" s="169"/>
      <c r="K222" s="179"/>
      <c r="L222" s="223"/>
      <c r="M222" s="57"/>
      <c r="N222" s="57">
        <v>18537</v>
      </c>
      <c r="O222" s="302">
        <v>14922</v>
      </c>
      <c r="P222" s="302">
        <v>13524</v>
      </c>
      <c r="Q222" s="178">
        <v>15705.23</v>
      </c>
      <c r="R222" s="57">
        <v>16000</v>
      </c>
      <c r="S222" s="57">
        <v>15500</v>
      </c>
      <c r="T222" s="57"/>
      <c r="U222" s="57">
        <f>SUM(H222:Q222)</f>
        <v>62688.229999999996</v>
      </c>
      <c r="V222" s="57"/>
      <c r="W222" s="57">
        <f>SUM(R222:S222)</f>
        <v>31500</v>
      </c>
    </row>
    <row r="223" spans="1:23" ht="15.75" customHeight="1" outlineLevel="1">
      <c r="A223" s="48"/>
      <c r="B223" s="49">
        <v>8.6</v>
      </c>
      <c r="C223" s="332" t="s">
        <v>101</v>
      </c>
      <c r="D223" s="330"/>
      <c r="E223" s="50">
        <v>45658</v>
      </c>
      <c r="F223" s="50">
        <v>46021</v>
      </c>
      <c r="G223" s="177" t="s">
        <v>36</v>
      </c>
      <c r="H223" s="57">
        <v>15733</v>
      </c>
      <c r="I223" s="57">
        <v>15577</v>
      </c>
      <c r="J223" s="169">
        <v>14035</v>
      </c>
      <c r="K223" s="179">
        <v>16915</v>
      </c>
      <c r="L223" s="223">
        <v>16239</v>
      </c>
      <c r="M223" s="57">
        <v>18262</v>
      </c>
      <c r="N223" s="57"/>
      <c r="O223" s="57"/>
      <c r="P223" s="57"/>
      <c r="Q223" s="57"/>
      <c r="R223" s="57"/>
      <c r="S223" s="57"/>
      <c r="T223" s="57"/>
      <c r="U223" s="57">
        <f t="shared" ref="U223:U225" si="108">SUM(H223:O223)</f>
        <v>96761</v>
      </c>
      <c r="V223" s="57"/>
      <c r="W223" s="57">
        <f t="shared" ref="W223:W225" si="109">SUM(P223:S223)</f>
        <v>0</v>
      </c>
    </row>
    <row r="224" spans="1:23" ht="15.75" customHeight="1" outlineLevel="1">
      <c r="A224" s="48"/>
      <c r="B224" s="49">
        <v>8.6999999999999993</v>
      </c>
      <c r="C224" s="332" t="s">
        <v>102</v>
      </c>
      <c r="D224" s="330"/>
      <c r="E224" s="50">
        <v>45658</v>
      </c>
      <c r="F224" s="50">
        <v>46021</v>
      </c>
      <c r="G224" s="177" t="s">
        <v>34</v>
      </c>
      <c r="H224" s="57">
        <v>255</v>
      </c>
      <c r="I224" s="57">
        <v>251</v>
      </c>
      <c r="J224" s="169">
        <v>260</v>
      </c>
      <c r="K224" s="179"/>
      <c r="L224" s="223"/>
      <c r="M224" s="57"/>
      <c r="N224" s="57"/>
      <c r="O224" s="57"/>
      <c r="P224" s="57"/>
      <c r="Q224" s="57"/>
      <c r="R224" s="57"/>
      <c r="S224" s="57"/>
      <c r="T224" s="57"/>
      <c r="U224" s="57">
        <f t="shared" si="108"/>
        <v>766</v>
      </c>
      <c r="V224" s="57"/>
      <c r="W224" s="57">
        <f t="shared" si="109"/>
        <v>0</v>
      </c>
    </row>
    <row r="225" spans="1:23" ht="15.75" customHeight="1" outlineLevel="1">
      <c r="A225" s="48"/>
      <c r="B225" s="49">
        <v>8.8000000000000007</v>
      </c>
      <c r="C225" s="332" t="s">
        <v>103</v>
      </c>
      <c r="D225" s="330"/>
      <c r="E225" s="49" t="s">
        <v>81</v>
      </c>
      <c r="F225" s="49" t="s">
        <v>73</v>
      </c>
      <c r="G225" s="177" t="s">
        <v>34</v>
      </c>
      <c r="H225" s="57">
        <v>411</v>
      </c>
      <c r="I225" s="57">
        <v>6</v>
      </c>
      <c r="J225" s="169"/>
      <c r="K225" s="179"/>
      <c r="L225" s="223"/>
      <c r="M225" s="57"/>
      <c r="N225" s="57"/>
      <c r="O225" s="262"/>
      <c r="P225" s="57"/>
      <c r="Q225" s="57"/>
      <c r="R225" s="57"/>
      <c r="S225" s="57"/>
      <c r="T225" s="57"/>
      <c r="U225" s="57">
        <f t="shared" si="108"/>
        <v>417</v>
      </c>
      <c r="V225" s="57"/>
      <c r="W225" s="57">
        <f t="shared" si="109"/>
        <v>0</v>
      </c>
    </row>
    <row r="226" spans="1:23" ht="21" customHeight="1">
      <c r="A226" s="19"/>
      <c r="B226" s="31">
        <v>9</v>
      </c>
      <c r="C226" s="32" t="s">
        <v>104</v>
      </c>
      <c r="D226" s="33"/>
      <c r="E226" s="33"/>
      <c r="F226" s="33"/>
      <c r="G226" s="173"/>
      <c r="H226" s="34"/>
      <c r="I226" s="35"/>
      <c r="J226" s="36"/>
      <c r="K226" s="199"/>
      <c r="L226" s="200"/>
      <c r="M226" s="34"/>
      <c r="N226" s="34"/>
      <c r="O226" s="34"/>
      <c r="P226" s="34"/>
      <c r="Q226" s="34"/>
      <c r="R226" s="34"/>
      <c r="S226" s="34"/>
      <c r="T226" s="38">
        <f>SUM(T227:T232)</f>
        <v>0</v>
      </c>
      <c r="U226" s="263">
        <f>U232+U231+U227</f>
        <v>37259.49</v>
      </c>
      <c r="V226" s="263">
        <f>SUM(V227:V232)</f>
        <v>0</v>
      </c>
      <c r="W226" s="263">
        <f>W227+W231+W232</f>
        <v>14000</v>
      </c>
    </row>
    <row r="227" spans="1:23" ht="15.75" customHeight="1" outlineLevel="1">
      <c r="A227" s="48"/>
      <c r="B227" s="49">
        <v>9.1999999999999993</v>
      </c>
      <c r="C227" s="332" t="s">
        <v>108</v>
      </c>
      <c r="D227" s="330"/>
      <c r="E227" s="50"/>
      <c r="F227" s="50"/>
      <c r="G227" s="177"/>
      <c r="H227" s="142"/>
      <c r="I227" s="142"/>
      <c r="J227" s="179"/>
      <c r="K227" s="179"/>
      <c r="L227" s="223"/>
      <c r="M227" s="264"/>
      <c r="N227" s="155"/>
      <c r="O227" s="155"/>
      <c r="P227" s="155"/>
      <c r="Q227" s="155"/>
      <c r="R227" s="155"/>
      <c r="S227" s="155"/>
      <c r="T227" s="142"/>
      <c r="U227" s="265">
        <f>SUM(U228:U230)</f>
        <v>27078.489999999998</v>
      </c>
      <c r="V227" s="266"/>
      <c r="W227" s="265">
        <f>SUM(W228:W230)</f>
        <v>14000</v>
      </c>
    </row>
    <row r="228" spans="1:23" ht="17.25" customHeight="1" outlineLevel="2">
      <c r="A228" s="48"/>
      <c r="B228" s="58"/>
      <c r="C228" s="59"/>
      <c r="D228" s="59"/>
      <c r="E228" s="60"/>
      <c r="F228" s="60"/>
      <c r="G228" s="61" t="s">
        <v>33</v>
      </c>
      <c r="H228" s="69"/>
      <c r="I228" s="69"/>
      <c r="J228" s="149"/>
      <c r="K228" s="206"/>
      <c r="L228" s="209"/>
      <c r="M228" s="69"/>
      <c r="N228" s="69"/>
      <c r="O228" s="297">
        <v>1950.08</v>
      </c>
      <c r="P228" s="69"/>
      <c r="Q228" s="69"/>
      <c r="R228" s="69"/>
      <c r="S228" s="69"/>
      <c r="T228" s="69"/>
      <c r="U228" s="69">
        <f>SUM(H228:P228)</f>
        <v>1950.08</v>
      </c>
      <c r="V228" s="69"/>
      <c r="W228" s="69">
        <f>SUM(Q228:S228)</f>
        <v>0</v>
      </c>
    </row>
    <row r="229" spans="1:23" ht="17.25" customHeight="1" outlineLevel="2">
      <c r="A229" s="48"/>
      <c r="B229" s="58"/>
      <c r="C229" s="59"/>
      <c r="D229" s="59"/>
      <c r="E229" s="60"/>
      <c r="F229" s="60"/>
      <c r="G229" s="61" t="s">
        <v>34</v>
      </c>
      <c r="H229" s="69">
        <v>1022</v>
      </c>
      <c r="I229" s="69">
        <v>1022</v>
      </c>
      <c r="J229" s="149">
        <v>1022</v>
      </c>
      <c r="K229" s="206">
        <v>899</v>
      </c>
      <c r="L229" s="209">
        <v>505</v>
      </c>
      <c r="M229" s="69">
        <v>950</v>
      </c>
      <c r="N229" s="69">
        <v>369</v>
      </c>
      <c r="O229" s="297">
        <v>2368</v>
      </c>
      <c r="P229" s="297">
        <v>1808</v>
      </c>
      <c r="Q229" s="248">
        <v>2987.9</v>
      </c>
      <c r="R229" s="69">
        <v>2500</v>
      </c>
      <c r="S229" s="69">
        <v>2500</v>
      </c>
      <c r="T229" s="69"/>
      <c r="U229" s="69">
        <f t="shared" ref="U229:U230" si="110">SUM(H229:Q229)</f>
        <v>12952.9</v>
      </c>
      <c r="V229" s="69"/>
      <c r="W229" s="69">
        <f t="shared" ref="W229:W230" si="111">SUM(R229:S229)</f>
        <v>5000</v>
      </c>
    </row>
    <row r="230" spans="1:23" ht="15.75" customHeight="1" outlineLevel="2">
      <c r="A230" s="48"/>
      <c r="B230" s="58"/>
      <c r="C230" s="59"/>
      <c r="D230" s="59"/>
      <c r="E230" s="60"/>
      <c r="F230" s="60"/>
      <c r="G230" s="61" t="s">
        <v>176</v>
      </c>
      <c r="H230" s="69"/>
      <c r="I230" s="69"/>
      <c r="J230" s="149"/>
      <c r="K230" s="206"/>
      <c r="L230" s="209">
        <v>223</v>
      </c>
      <c r="M230" s="69"/>
      <c r="N230" s="69">
        <v>2009</v>
      </c>
      <c r="O230" s="297">
        <v>4709</v>
      </c>
      <c r="P230" s="297">
        <v>2837</v>
      </c>
      <c r="Q230" s="248">
        <v>2397.5100000000002</v>
      </c>
      <c r="R230" s="69">
        <v>4500</v>
      </c>
      <c r="S230" s="69">
        <v>4500</v>
      </c>
      <c r="T230" s="69"/>
      <c r="U230" s="69">
        <f t="shared" si="110"/>
        <v>12175.51</v>
      </c>
      <c r="V230" s="69"/>
      <c r="W230" s="69">
        <f t="shared" si="111"/>
        <v>9000</v>
      </c>
    </row>
    <row r="231" spans="1:23" ht="15.75" customHeight="1" outlineLevel="1">
      <c r="A231" s="48"/>
      <c r="B231" s="49" t="s">
        <v>164</v>
      </c>
      <c r="C231" s="332" t="s">
        <v>110</v>
      </c>
      <c r="D231" s="330"/>
      <c r="E231" s="50">
        <v>45658</v>
      </c>
      <c r="F231" s="50">
        <v>46021</v>
      </c>
      <c r="G231" s="177" t="s">
        <v>34</v>
      </c>
      <c r="H231" s="142">
        <v>1278</v>
      </c>
      <c r="I231" s="142">
        <v>1141</v>
      </c>
      <c r="J231" s="179">
        <v>1104</v>
      </c>
      <c r="K231" s="179">
        <v>2064</v>
      </c>
      <c r="L231" s="223">
        <v>528</v>
      </c>
      <c r="M231" s="181">
        <v>760</v>
      </c>
      <c r="N231" s="142">
        <v>422</v>
      </c>
      <c r="O231" s="142"/>
      <c r="P231" s="142"/>
      <c r="Q231" s="142"/>
      <c r="R231" s="142"/>
      <c r="S231" s="142"/>
      <c r="T231" s="142"/>
      <c r="U231" s="57">
        <f t="shared" ref="U231:U232" si="112">SUM(H231:O231)</f>
        <v>7297</v>
      </c>
      <c r="V231" s="142"/>
      <c r="W231" s="57">
        <f t="shared" ref="W231:W232" si="113">SUM(O231:S231)</f>
        <v>0</v>
      </c>
    </row>
    <row r="232" spans="1:23" ht="15.75" customHeight="1" outlineLevel="1">
      <c r="A232" s="48"/>
      <c r="B232" s="49" t="s">
        <v>165</v>
      </c>
      <c r="C232" s="332" t="s">
        <v>112</v>
      </c>
      <c r="D232" s="330"/>
      <c r="E232" s="50">
        <v>45748</v>
      </c>
      <c r="F232" s="50">
        <v>46021</v>
      </c>
      <c r="G232" s="177" t="s">
        <v>34</v>
      </c>
      <c r="H232" s="142"/>
      <c r="I232" s="142"/>
      <c r="J232" s="179">
        <v>765</v>
      </c>
      <c r="K232" s="179">
        <v>684</v>
      </c>
      <c r="L232" s="223">
        <v>344</v>
      </c>
      <c r="M232" s="181">
        <v>634</v>
      </c>
      <c r="N232" s="142">
        <v>457</v>
      </c>
      <c r="O232" s="142"/>
      <c r="P232" s="142"/>
      <c r="Q232" s="142"/>
      <c r="R232" s="142"/>
      <c r="S232" s="142"/>
      <c r="T232" s="142"/>
      <c r="U232" s="57">
        <f t="shared" si="112"/>
        <v>2884</v>
      </c>
      <c r="V232" s="142"/>
      <c r="W232" s="57">
        <f t="shared" si="113"/>
        <v>0</v>
      </c>
    </row>
    <row r="233" spans="1:23" ht="15.75" customHeight="1">
      <c r="A233" s="48"/>
      <c r="B233" s="58"/>
      <c r="C233" s="123"/>
      <c r="D233" s="123"/>
      <c r="E233" s="60"/>
      <c r="F233" s="60"/>
      <c r="G233" s="60"/>
      <c r="H233" s="183"/>
      <c r="I233" s="184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48"/>
      <c r="U233" s="48"/>
      <c r="V233" s="48"/>
      <c r="W233" s="48"/>
    </row>
    <row r="234" spans="1:23" ht="15.75" customHeight="1">
      <c r="A234" s="48"/>
      <c r="B234" s="58"/>
      <c r="C234" s="123"/>
      <c r="D234" s="123"/>
      <c r="E234" s="60"/>
      <c r="F234" s="60"/>
      <c r="G234" s="60"/>
      <c r="H234" s="183"/>
      <c r="I234" s="184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48"/>
      <c r="U234" s="48"/>
      <c r="V234" s="48"/>
      <c r="W234" s="48"/>
    </row>
    <row r="235" spans="1:23" ht="15.75" customHeight="1">
      <c r="A235" s="48"/>
      <c r="B235" s="58"/>
      <c r="C235" s="123"/>
      <c r="D235" s="123"/>
      <c r="E235" s="60"/>
      <c r="F235" s="60"/>
      <c r="G235" s="60"/>
      <c r="H235" s="183"/>
      <c r="I235" s="184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48"/>
      <c r="U235" s="48"/>
      <c r="V235" s="48"/>
      <c r="W235" s="48"/>
    </row>
    <row r="236" spans="1:23" ht="15.75" customHeight="1">
      <c r="A236" s="48"/>
      <c r="B236" s="58"/>
      <c r="C236" s="123"/>
      <c r="D236" s="123"/>
      <c r="E236" s="60"/>
      <c r="F236" s="60"/>
      <c r="G236" s="60"/>
      <c r="H236" s="183"/>
      <c r="I236" s="184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48"/>
      <c r="U236" s="48"/>
      <c r="V236" s="48"/>
      <c r="W236" s="48"/>
    </row>
    <row r="237" spans="1:23" ht="15.75" customHeight="1">
      <c r="A237" s="48"/>
      <c r="B237" s="58"/>
      <c r="C237" s="123"/>
      <c r="D237" s="123"/>
      <c r="F237" s="123"/>
      <c r="G237" s="60"/>
      <c r="I237" s="123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48"/>
      <c r="U237" s="48"/>
      <c r="V237" s="48"/>
      <c r="W237" s="48"/>
    </row>
    <row r="238" spans="1:23" ht="15.75" customHeight="1">
      <c r="A238" s="48"/>
      <c r="B238" s="58"/>
      <c r="C238" s="186"/>
      <c r="D238" s="186"/>
      <c r="E238" s="60"/>
      <c r="F238" s="58"/>
      <c r="G238" s="60"/>
      <c r="H238" s="183"/>
      <c r="I238" s="184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48"/>
      <c r="U238" s="48"/>
      <c r="V238" s="48"/>
      <c r="W238" s="48"/>
    </row>
    <row r="239" spans="1:23" ht="15.75" customHeight="1">
      <c r="A239" s="48"/>
      <c r="B239" s="58"/>
      <c r="C239" s="123"/>
      <c r="D239" s="123"/>
      <c r="E239" s="60"/>
      <c r="F239" s="58"/>
      <c r="G239" s="60"/>
      <c r="H239" s="183"/>
      <c r="I239" s="184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48"/>
      <c r="U239" s="48"/>
      <c r="V239" s="48"/>
      <c r="W239" s="48"/>
    </row>
    <row r="240" spans="1:23" ht="15.75" customHeight="1">
      <c r="A240" s="48"/>
      <c r="B240" s="58"/>
      <c r="C240" s="123"/>
      <c r="D240" s="123"/>
      <c r="E240" s="60"/>
      <c r="F240" s="58"/>
      <c r="G240" s="60"/>
      <c r="H240" s="183"/>
      <c r="I240" s="184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48"/>
      <c r="U240" s="48"/>
      <c r="V240" s="48"/>
      <c r="W240" s="48"/>
    </row>
    <row r="241" spans="1:23" ht="15.75" customHeight="1">
      <c r="A241" s="48"/>
      <c r="B241" s="58"/>
      <c r="C241" s="123"/>
      <c r="D241" s="123"/>
      <c r="E241" s="60"/>
      <c r="F241" s="58"/>
      <c r="G241" s="60"/>
      <c r="H241" s="183"/>
      <c r="I241" s="184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48"/>
      <c r="U241" s="48"/>
      <c r="V241" s="48"/>
      <c r="W241" s="48"/>
    </row>
    <row r="242" spans="1:23" ht="15.75" customHeight="1">
      <c r="A242" s="48"/>
      <c r="B242" s="58"/>
      <c r="C242" s="123"/>
      <c r="D242" s="123"/>
      <c r="E242" s="60"/>
      <c r="F242" s="58"/>
      <c r="G242" s="60"/>
      <c r="H242" s="183"/>
      <c r="I242" s="184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48"/>
      <c r="U242" s="48"/>
      <c r="V242" s="48"/>
      <c r="W242" s="48"/>
    </row>
    <row r="243" spans="1:23" ht="15.75" customHeight="1">
      <c r="A243" s="48"/>
      <c r="B243" s="58"/>
      <c r="C243" s="123"/>
      <c r="D243" s="123"/>
      <c r="E243" s="60"/>
      <c r="F243" s="58"/>
      <c r="G243" s="60"/>
      <c r="H243" s="183"/>
      <c r="I243" s="184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48"/>
      <c r="U243" s="48"/>
      <c r="V243" s="48"/>
      <c r="W243" s="48"/>
    </row>
    <row r="244" spans="1:23" ht="15.75" customHeight="1">
      <c r="A244" s="48"/>
      <c r="B244" s="58"/>
      <c r="C244" s="123"/>
      <c r="D244" s="123"/>
      <c r="E244" s="60"/>
      <c r="F244" s="60"/>
      <c r="G244" s="60"/>
      <c r="H244" s="183"/>
      <c r="I244" s="184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48"/>
      <c r="U244" s="48"/>
      <c r="V244" s="48"/>
      <c r="W244" s="48"/>
    </row>
    <row r="245" spans="1:23" ht="15.75" customHeight="1">
      <c r="A245" s="48"/>
      <c r="B245" s="58"/>
      <c r="C245" s="123"/>
      <c r="D245" s="123"/>
      <c r="E245" s="60"/>
      <c r="F245" s="60"/>
      <c r="G245" s="60"/>
      <c r="H245" s="183"/>
      <c r="I245" s="184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48"/>
      <c r="U245" s="48"/>
      <c r="V245" s="48"/>
      <c r="W245" s="48"/>
    </row>
    <row r="246" spans="1:23" ht="15.75" customHeight="1">
      <c r="A246" s="48"/>
      <c r="B246" s="58"/>
      <c r="C246" s="123"/>
      <c r="D246" s="123"/>
      <c r="E246" s="60"/>
      <c r="F246" s="60"/>
      <c r="G246" s="60"/>
      <c r="H246" s="183"/>
      <c r="I246" s="184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48"/>
      <c r="U246" s="48"/>
      <c r="V246" s="48"/>
      <c r="W246" s="48"/>
    </row>
    <row r="247" spans="1:23" ht="15.75" customHeight="1">
      <c r="A247" s="48"/>
      <c r="B247" s="58"/>
      <c r="C247" s="123"/>
      <c r="D247" s="123"/>
      <c r="E247" s="60"/>
      <c r="F247" s="60"/>
      <c r="G247" s="60"/>
      <c r="H247" s="183"/>
      <c r="I247" s="184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48"/>
      <c r="U247" s="48"/>
      <c r="V247" s="48"/>
      <c r="W247" s="48"/>
    </row>
    <row r="248" spans="1:23" ht="15.75" customHeight="1">
      <c r="A248" s="48"/>
      <c r="B248" s="58"/>
      <c r="C248" s="123"/>
      <c r="D248" s="123"/>
      <c r="E248" s="60"/>
      <c r="F248" s="60"/>
      <c r="G248" s="60"/>
      <c r="H248" s="183"/>
      <c r="I248" s="184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48"/>
      <c r="U248" s="48"/>
      <c r="V248" s="48"/>
      <c r="W248" s="48"/>
    </row>
    <row r="249" spans="1:23" ht="15.75" customHeight="1">
      <c r="A249" s="48"/>
      <c r="B249" s="58"/>
      <c r="C249" s="123"/>
      <c r="D249" s="123"/>
      <c r="E249" s="60"/>
      <c r="F249" s="60"/>
      <c r="G249" s="60"/>
      <c r="H249" s="183"/>
      <c r="I249" s="184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48"/>
      <c r="U249" s="48"/>
      <c r="V249" s="48"/>
      <c r="W249" s="48"/>
    </row>
    <row r="250" spans="1:23" ht="15.75" customHeight="1">
      <c r="A250" s="48"/>
      <c r="B250" s="58"/>
      <c r="C250" s="123"/>
      <c r="D250" s="123"/>
      <c r="E250" s="60"/>
      <c r="F250" s="60"/>
      <c r="G250" s="60"/>
      <c r="H250" s="183"/>
      <c r="I250" s="184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48"/>
      <c r="U250" s="48"/>
      <c r="V250" s="48"/>
      <c r="W250" s="48"/>
    </row>
    <row r="251" spans="1:23" ht="15.75" customHeight="1">
      <c r="A251" s="48"/>
      <c r="B251" s="58"/>
      <c r="C251" s="123"/>
      <c r="D251" s="123"/>
      <c r="E251" s="60"/>
      <c r="F251" s="60"/>
      <c r="G251" s="60"/>
      <c r="H251" s="183"/>
      <c r="I251" s="184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48"/>
      <c r="U251" s="48"/>
      <c r="V251" s="48"/>
      <c r="W251" s="48"/>
    </row>
    <row r="252" spans="1:23" ht="15.75" customHeight="1">
      <c r="A252" s="48"/>
      <c r="B252" s="58"/>
      <c r="C252" s="123"/>
      <c r="D252" s="123"/>
      <c r="E252" s="60"/>
      <c r="F252" s="60"/>
      <c r="G252" s="60"/>
      <c r="H252" s="183"/>
      <c r="I252" s="184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48"/>
      <c r="U252" s="48"/>
      <c r="V252" s="48"/>
      <c r="W252" s="48"/>
    </row>
    <row r="253" spans="1:23" ht="15.75" customHeight="1">
      <c r="A253" s="48"/>
      <c r="B253" s="58"/>
      <c r="C253" s="123"/>
      <c r="D253" s="123"/>
      <c r="E253" s="60"/>
      <c r="F253" s="60"/>
      <c r="G253" s="60"/>
      <c r="H253" s="183"/>
      <c r="I253" s="184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48"/>
      <c r="U253" s="48"/>
      <c r="V253" s="48"/>
      <c r="W253" s="48"/>
    </row>
    <row r="254" spans="1:23" ht="15.75" customHeight="1">
      <c r="A254" s="48"/>
      <c r="B254" s="58"/>
      <c r="C254" s="123"/>
      <c r="D254" s="123"/>
      <c r="E254" s="60"/>
      <c r="F254" s="60"/>
      <c r="G254" s="60"/>
      <c r="H254" s="183"/>
      <c r="I254" s="184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48"/>
      <c r="U254" s="48"/>
      <c r="V254" s="48"/>
      <c r="W254" s="48"/>
    </row>
    <row r="255" spans="1:23" ht="15.75" customHeight="1">
      <c r="A255" s="48"/>
      <c r="B255" s="58"/>
      <c r="C255" s="123"/>
      <c r="D255" s="123"/>
      <c r="E255" s="60"/>
      <c r="F255" s="60"/>
      <c r="G255" s="60"/>
      <c r="H255" s="183"/>
      <c r="I255" s="184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48"/>
      <c r="U255" s="48"/>
      <c r="V255" s="48"/>
      <c r="W255" s="48"/>
    </row>
    <row r="256" spans="1:23" ht="15.75" customHeight="1">
      <c r="A256" s="48"/>
      <c r="B256" s="58"/>
      <c r="C256" s="123"/>
      <c r="D256" s="123"/>
      <c r="E256" s="60"/>
      <c r="F256" s="60"/>
      <c r="G256" s="60"/>
      <c r="H256" s="183"/>
      <c r="I256" s="184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48"/>
      <c r="U256" s="48"/>
      <c r="V256" s="48"/>
      <c r="W256" s="48"/>
    </row>
    <row r="257" spans="1:23" ht="15.75" customHeight="1">
      <c r="A257" s="48"/>
      <c r="B257" s="58"/>
      <c r="C257" s="123"/>
      <c r="D257" s="123"/>
      <c r="E257" s="60"/>
      <c r="F257" s="60"/>
      <c r="G257" s="60"/>
      <c r="H257" s="183"/>
      <c r="I257" s="184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48"/>
      <c r="U257" s="48"/>
      <c r="V257" s="48"/>
      <c r="W257" s="48"/>
    </row>
    <row r="258" spans="1:23" ht="15.75" customHeight="1">
      <c r="A258" s="48"/>
      <c r="B258" s="58"/>
      <c r="C258" s="123"/>
      <c r="D258" s="123"/>
      <c r="E258" s="60"/>
      <c r="F258" s="60"/>
      <c r="G258" s="60"/>
      <c r="H258" s="183"/>
      <c r="I258" s="184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48"/>
      <c r="U258" s="48"/>
      <c r="V258" s="48"/>
      <c r="W258" s="48"/>
    </row>
  </sheetData>
  <mergeCells count="77">
    <mergeCell ref="N2:P2"/>
    <mergeCell ref="Q2:R2"/>
    <mergeCell ref="N3:P3"/>
    <mergeCell ref="Q3:R3"/>
    <mergeCell ref="Q4:R4"/>
    <mergeCell ref="N4:P4"/>
    <mergeCell ref="C137:D137"/>
    <mergeCell ref="C144:D144"/>
    <mergeCell ref="C151:D151"/>
    <mergeCell ref="H2:J2"/>
    <mergeCell ref="H3:J3"/>
    <mergeCell ref="H4:J4"/>
    <mergeCell ref="C100:D100"/>
    <mergeCell ref="C107:D107"/>
    <mergeCell ref="C115:D115"/>
    <mergeCell ref="C122:D122"/>
    <mergeCell ref="C129:D129"/>
    <mergeCell ref="C63:D63"/>
    <mergeCell ref="C70:D70"/>
    <mergeCell ref="C78:D78"/>
    <mergeCell ref="C85:D85"/>
    <mergeCell ref="C93:D93"/>
    <mergeCell ref="C26:D26"/>
    <mergeCell ref="C33:D33"/>
    <mergeCell ref="C41:D41"/>
    <mergeCell ref="C49:D49"/>
    <mergeCell ref="C56:D56"/>
    <mergeCell ref="B8:B9"/>
    <mergeCell ref="F8:F9"/>
    <mergeCell ref="C8:C9"/>
    <mergeCell ref="C12:D12"/>
    <mergeCell ref="C19:D19"/>
    <mergeCell ref="B4:C4"/>
    <mergeCell ref="B5:C5"/>
    <mergeCell ref="E5:F5"/>
    <mergeCell ref="B6:C6"/>
    <mergeCell ref="E6:F6"/>
    <mergeCell ref="D8:D9"/>
    <mergeCell ref="E8:E9"/>
    <mergeCell ref="G8:G9"/>
    <mergeCell ref="H8:J8"/>
    <mergeCell ref="K8:M8"/>
    <mergeCell ref="O5:S5"/>
    <mergeCell ref="T8:U8"/>
    <mergeCell ref="V8:W8"/>
    <mergeCell ref="N8:P8"/>
    <mergeCell ref="Q8:S8"/>
    <mergeCell ref="K4:L4"/>
    <mergeCell ref="B2:F2"/>
    <mergeCell ref="K2:L2"/>
    <mergeCell ref="K3:L3"/>
    <mergeCell ref="C225:D225"/>
    <mergeCell ref="C227:D227"/>
    <mergeCell ref="C231:D231"/>
    <mergeCell ref="C232:D232"/>
    <mergeCell ref="C206:D206"/>
    <mergeCell ref="C207:D207"/>
    <mergeCell ref="C209:D209"/>
    <mergeCell ref="C214:D214"/>
    <mergeCell ref="C218:D218"/>
    <mergeCell ref="C222:D222"/>
    <mergeCell ref="C223:D223"/>
    <mergeCell ref="C202:D202"/>
    <mergeCell ref="C203:D203"/>
    <mergeCell ref="C204:D204"/>
    <mergeCell ref="C205:D205"/>
    <mergeCell ref="C224:D224"/>
    <mergeCell ref="C190:D190"/>
    <mergeCell ref="C198:D198"/>
    <mergeCell ref="C199:D199"/>
    <mergeCell ref="C200:D200"/>
    <mergeCell ref="C201:D201"/>
    <mergeCell ref="C159:D159"/>
    <mergeCell ref="C162:D162"/>
    <mergeCell ref="C169:D169"/>
    <mergeCell ref="C176:D176"/>
    <mergeCell ref="C183:D183"/>
  </mergeCells>
  <conditionalFormatting sqref="H19 H12 H26 H33">
    <cfRule type="colorScale" priority="3">
      <colorScale>
        <cfvo type="min"/>
        <cfvo type="max"/>
        <color rgb="FFFFFFFF"/>
        <color rgb="FF57BB8A"/>
      </colorScale>
    </cfRule>
    <cfRule type="colorScale" priority="4">
      <colorScale>
        <cfvo type="min"/>
        <cfvo type="max"/>
        <color rgb="FF57BB8A"/>
        <color rgb="FFFFFFFF"/>
      </colorScale>
    </cfRule>
  </conditionalFormatting>
  <conditionalFormatting sqref="K4">
    <cfRule type="cellIs" dxfId="3" priority="5" operator="greaterThan">
      <formula>0</formula>
    </cfRule>
    <cfRule type="cellIs" dxfId="2" priority="6" operator="lessThan">
      <formula>0</formula>
    </cfRule>
  </conditionalFormatting>
  <conditionalFormatting sqref="Q4">
    <cfRule type="cellIs" dxfId="1" priority="1" operator="greaterThan">
      <formula>0</formula>
    </cfRule>
    <cfRule type="cellIs" dxfId="0" priority="2" operator="lessThan">
      <formula>0</formula>
    </cfRule>
  </conditionalFormatting>
  <printOptions horizontalCentered="1" gridLines="1"/>
  <pageMargins left="0.25" right="0.25" top="0.75" bottom="0.75" header="0" footer="0"/>
  <pageSetup fitToWidth="0" pageOrder="overThenDown" orientation="landscape" cellComments="atEnd"/>
  <headerFooter>
    <oddHeader>&amp;R&amp;"Aptos"&amp;10&amp;K000000 Company Confidential&amp;1#_x000D_</oddHead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8761D"/>
    <outlinePr summaryBelow="0" summaryRight="0"/>
  </sheetPr>
  <dimension ref="A2:M26"/>
  <sheetViews>
    <sheetView zoomScale="48" zoomScaleNormal="48" workbookViewId="0"/>
  </sheetViews>
  <sheetFormatPr defaultColWidth="12.6328125" defaultRowHeight="15.75" customHeight="1"/>
  <cols>
    <col min="1" max="1" width="22.90625" customWidth="1"/>
    <col min="2" max="5" width="19.7265625" customWidth="1"/>
    <col min="6" max="6" width="22.08984375" customWidth="1"/>
    <col min="8" max="8" width="35.08984375" customWidth="1"/>
    <col min="9" max="9" width="24.36328125" customWidth="1"/>
    <col min="10" max="10" width="23.36328125" customWidth="1"/>
  </cols>
  <sheetData>
    <row r="2" spans="1:13" ht="25.5" customHeight="1">
      <c r="B2" s="364" t="s">
        <v>119</v>
      </c>
      <c r="C2" s="337"/>
      <c r="D2" s="337"/>
      <c r="E2" s="337"/>
      <c r="F2" s="187" t="s">
        <v>120</v>
      </c>
      <c r="H2" s="371" t="s">
        <v>177</v>
      </c>
      <c r="I2" s="337"/>
      <c r="J2" s="337"/>
    </row>
    <row r="3" spans="1:13" ht="25.5" customHeight="1">
      <c r="B3" s="188" t="s">
        <v>122</v>
      </c>
      <c r="C3" s="188" t="s">
        <v>123</v>
      </c>
      <c r="D3" s="189" t="s">
        <v>124</v>
      </c>
      <c r="E3" s="189" t="s">
        <v>125</v>
      </c>
      <c r="H3" s="190" t="s">
        <v>126</v>
      </c>
      <c r="I3" s="190" t="s">
        <v>127</v>
      </c>
      <c r="J3" s="190" t="s">
        <v>128</v>
      </c>
    </row>
    <row r="4" spans="1:13" ht="25.5" customHeight="1">
      <c r="B4" s="191">
        <f>'V2 2025 budget digital'!T10</f>
        <v>512320.38073231664</v>
      </c>
      <c r="C4" s="191">
        <f>'V2 2025 budget digital'!U10+'V2 2025 budget digital'!U208+'V2 2025 budget digital'!U226</f>
        <v>382282.2945806128</v>
      </c>
      <c r="D4" s="192">
        <f>'V2 2025 budget digital'!V10</f>
        <v>198606.97</v>
      </c>
      <c r="E4" s="192">
        <f>'V2 2025 budget digital'!W226+'V2 2025 budget digital'!W208+'V2 2025 budget digital'!W10</f>
        <v>76000</v>
      </c>
      <c r="F4" s="303"/>
      <c r="H4" s="193" t="s">
        <v>32</v>
      </c>
      <c r="I4" s="192">
        <f>590000/1.95583</f>
        <v>301662.20990576892</v>
      </c>
      <c r="J4" s="194">
        <f t="shared" ref="J4:J8" si="0">I4/$I$9</f>
        <v>0.28975189734481543</v>
      </c>
    </row>
    <row r="5" spans="1:13" ht="25.5" customHeight="1">
      <c r="A5" s="193" t="s">
        <v>129</v>
      </c>
      <c r="B5" s="372">
        <f>B4+C4+D4+E4</f>
        <v>1169209.6453129295</v>
      </c>
      <c r="C5" s="368"/>
      <c r="D5" s="368"/>
      <c r="E5" s="369"/>
      <c r="H5" s="193" t="s">
        <v>33</v>
      </c>
      <c r="I5" s="304">
        <v>104556</v>
      </c>
      <c r="J5" s="194">
        <f t="shared" si="0"/>
        <v>0.10042789048136971</v>
      </c>
    </row>
    <row r="6" spans="1:13" ht="25.5" customHeight="1">
      <c r="A6" s="193" t="s">
        <v>130</v>
      </c>
      <c r="B6" s="363">
        <f>B5*1.95583</f>
        <v>2286775.3005923871</v>
      </c>
      <c r="C6" s="365"/>
      <c r="D6" s="365"/>
      <c r="E6" s="362"/>
      <c r="H6" s="193" t="s">
        <v>34</v>
      </c>
      <c r="I6" s="304">
        <v>234576</v>
      </c>
      <c r="J6" s="194">
        <f t="shared" si="0"/>
        <v>0.22531440412370196</v>
      </c>
    </row>
    <row r="7" spans="1:13" ht="25.5" customHeight="1">
      <c r="A7" s="193" t="s">
        <v>131</v>
      </c>
      <c r="B7" s="373">
        <f>1173000*1.95583</f>
        <v>2294188.59</v>
      </c>
      <c r="C7" s="365"/>
      <c r="D7" s="365"/>
      <c r="E7" s="362"/>
      <c r="H7" s="193" t="s">
        <v>85</v>
      </c>
      <c r="I7" s="304">
        <v>382430</v>
      </c>
      <c r="J7" s="194">
        <f t="shared" si="0"/>
        <v>0.36733079074170993</v>
      </c>
    </row>
    <row r="8" spans="1:13" ht="25.5" customHeight="1">
      <c r="A8" s="193" t="s">
        <v>178</v>
      </c>
      <c r="B8" s="370">
        <f>B7-B6</f>
        <v>7413.2894076127559</v>
      </c>
      <c r="C8" s="365"/>
      <c r="D8" s="365"/>
      <c r="E8" s="362"/>
      <c r="F8" s="195"/>
      <c r="H8" s="193" t="s">
        <v>135</v>
      </c>
      <c r="I8" s="304">
        <v>17881</v>
      </c>
      <c r="J8" s="194">
        <f t="shared" si="0"/>
        <v>1.7175017308402884E-2</v>
      </c>
    </row>
    <row r="9" spans="1:13" ht="25.5" customHeight="1">
      <c r="H9" s="193" t="s">
        <v>136</v>
      </c>
      <c r="I9" s="361">
        <f>SUM(I3:I8)</f>
        <v>1041105.209905769</v>
      </c>
      <c r="J9" s="362"/>
      <c r="M9" s="305"/>
    </row>
    <row r="10" spans="1:13" ht="27.75" customHeight="1">
      <c r="H10" s="193" t="s">
        <v>138</v>
      </c>
      <c r="I10" s="363">
        <f>I9*1.95583</f>
        <v>2036224.80269</v>
      </c>
      <c r="J10" s="362"/>
    </row>
    <row r="11" spans="1:13" ht="27.75" customHeight="1">
      <c r="B11" s="364" t="s">
        <v>137</v>
      </c>
      <c r="C11" s="337"/>
      <c r="D11" s="337"/>
      <c r="E11" s="337"/>
    </row>
    <row r="12" spans="1:13" ht="33" customHeight="1">
      <c r="B12" s="193" t="s">
        <v>139</v>
      </c>
      <c r="C12" s="196">
        <f>I4*1.95583</f>
        <v>590000</v>
      </c>
      <c r="D12" s="197" t="s">
        <v>140</v>
      </c>
      <c r="E12" s="196">
        <f>590000-C12</f>
        <v>0</v>
      </c>
    </row>
    <row r="15" spans="1:13" ht="21.5">
      <c r="H15" s="371" t="s">
        <v>179</v>
      </c>
      <c r="I15" s="337"/>
      <c r="J15" s="337"/>
    </row>
    <row r="16" spans="1:13" ht="18">
      <c r="D16" s="187">
        <f>1398000-1398000*0.2</f>
        <v>1118400</v>
      </c>
      <c r="E16" s="187">
        <f>D16/1.95583</f>
        <v>571828.83992985077</v>
      </c>
      <c r="H16" s="190" t="s">
        <v>126</v>
      </c>
      <c r="I16" s="190" t="s">
        <v>127</v>
      </c>
      <c r="J16" s="190" t="s">
        <v>128</v>
      </c>
    </row>
    <row r="17" spans="4:10" ht="19">
      <c r="H17" s="193" t="s">
        <v>32</v>
      </c>
      <c r="I17" s="192">
        <v>19766</v>
      </c>
      <c r="J17" s="194">
        <f t="shared" ref="J17:J21" si="1">I17/$I$22</f>
        <v>0.30034492713983985</v>
      </c>
    </row>
    <row r="18" spans="4:10" ht="19">
      <c r="H18" s="193" t="s">
        <v>33</v>
      </c>
      <c r="I18" s="304">
        <v>85</v>
      </c>
      <c r="J18" s="194">
        <f t="shared" si="1"/>
        <v>1.2915773958760693E-3</v>
      </c>
    </row>
    <row r="19" spans="4:10" ht="19">
      <c r="H19" s="193" t="s">
        <v>34</v>
      </c>
      <c r="I19" s="304">
        <v>15958</v>
      </c>
      <c r="J19" s="194">
        <f t="shared" si="1"/>
        <v>0.24248225980459193</v>
      </c>
    </row>
    <row r="20" spans="4:10" ht="19">
      <c r="H20" s="193" t="s">
        <v>85</v>
      </c>
      <c r="I20" s="304">
        <v>30002</v>
      </c>
      <c r="J20" s="194">
        <f t="shared" si="1"/>
        <v>0.45588123565969213</v>
      </c>
    </row>
    <row r="21" spans="4:10" ht="19">
      <c r="H21" s="193" t="s">
        <v>135</v>
      </c>
      <c r="I21" s="192">
        <v>0</v>
      </c>
      <c r="J21" s="194">
        <f t="shared" si="1"/>
        <v>0</v>
      </c>
    </row>
    <row r="22" spans="4:10" ht="20">
      <c r="H22" s="193" t="s">
        <v>180</v>
      </c>
      <c r="I22" s="361">
        <f>SUM(I17:I21)</f>
        <v>65811</v>
      </c>
      <c r="J22" s="362"/>
    </row>
    <row r="23" spans="4:10" ht="20">
      <c r="H23" s="193" t="s">
        <v>181</v>
      </c>
      <c r="I23" s="363">
        <f>I22*1.95583</f>
        <v>128715.12813</v>
      </c>
      <c r="J23" s="362"/>
    </row>
    <row r="26" spans="4:10" ht="12.5">
      <c r="D26" s="187">
        <f>1367000/1.98853</f>
        <v>687442.48263792857</v>
      </c>
    </row>
  </sheetData>
  <mergeCells count="12">
    <mergeCell ref="B2:E2"/>
    <mergeCell ref="H2:J2"/>
    <mergeCell ref="B5:E5"/>
    <mergeCell ref="B6:E6"/>
    <mergeCell ref="B7:E7"/>
    <mergeCell ref="B8:E8"/>
    <mergeCell ref="B11:E11"/>
    <mergeCell ref="H15:J15"/>
    <mergeCell ref="I22:J22"/>
    <mergeCell ref="I23:J23"/>
    <mergeCell ref="I9:J9"/>
    <mergeCell ref="I10:J10"/>
  </mergeCells>
  <pageMargins left="0.7" right="0.7" top="0.75" bottom="0.75" header="0.3" footer="0.3"/>
  <headerFooter>
    <oddHeader>&amp;R&amp;"Aptos"&amp;10&amp;K000000 Company Confidential&amp;1#_x000D_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  <pageSetUpPr fitToPage="1"/>
  </sheetPr>
  <dimension ref="A1:W243"/>
  <sheetViews>
    <sheetView showGridLines="0" workbookViewId="0">
      <pane ySplit="9" topLeftCell="A10" activePane="bottomLeft" state="frozen"/>
      <selection pane="bottomLeft" activeCell="B11" sqref="B11"/>
    </sheetView>
  </sheetViews>
  <sheetFormatPr defaultColWidth="12.6328125" defaultRowHeight="15.75" customHeight="1" outlineLevelRow="3"/>
  <cols>
    <col min="1" max="1" width="2.7265625" customWidth="1"/>
    <col min="2" max="2" width="12.90625" customWidth="1"/>
    <col min="3" max="3" width="27.7265625" customWidth="1"/>
    <col min="4" max="4" width="21.36328125" customWidth="1"/>
    <col min="5" max="6" width="10.453125" customWidth="1"/>
    <col min="7" max="7" width="19.90625" customWidth="1"/>
    <col min="8" max="19" width="10.26953125" customWidth="1"/>
    <col min="20" max="23" width="17.36328125" customWidth="1"/>
  </cols>
  <sheetData>
    <row r="1" spans="1:23" ht="9" customHeight="1">
      <c r="A1" s="1"/>
      <c r="B1" s="2"/>
      <c r="C1" s="3"/>
      <c r="D1" s="3"/>
      <c r="E1" s="3"/>
      <c r="F1" s="4"/>
      <c r="G1" s="3"/>
      <c r="H1" s="5"/>
      <c r="I1" s="6"/>
      <c r="J1" s="7"/>
      <c r="K1" s="8"/>
      <c r="L1" s="7"/>
      <c r="M1" s="7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8.25" customHeight="1">
      <c r="A2" s="1"/>
      <c r="B2" s="334" t="s">
        <v>0</v>
      </c>
      <c r="C2" s="335"/>
      <c r="D2" s="335"/>
      <c r="E2" s="335"/>
      <c r="F2" s="335"/>
      <c r="H2" s="336"/>
      <c r="I2" s="337"/>
      <c r="J2" s="337"/>
      <c r="K2" s="337"/>
      <c r="L2" s="337"/>
      <c r="M2" s="337"/>
      <c r="N2" s="338"/>
      <c r="O2" s="337"/>
      <c r="P2" s="337"/>
      <c r="Q2" s="337"/>
      <c r="R2" s="337"/>
      <c r="S2" s="337"/>
      <c r="T2" s="1"/>
      <c r="U2" s="1"/>
      <c r="V2" s="1"/>
      <c r="W2" s="1"/>
    </row>
    <row r="3" spans="1:23" ht="21" hidden="1" customHeight="1">
      <c r="A3" s="1"/>
      <c r="B3" s="9"/>
      <c r="C3" s="9"/>
      <c r="D3" s="10"/>
      <c r="E3" s="10"/>
      <c r="F3" s="10"/>
      <c r="G3" s="10"/>
      <c r="H3" s="11"/>
      <c r="I3" s="11"/>
      <c r="J3" s="11"/>
      <c r="K3" s="11"/>
      <c r="L3" s="12"/>
      <c r="M3" s="12"/>
      <c r="N3" s="12"/>
      <c r="O3" s="1"/>
      <c r="P3" s="1"/>
      <c r="Q3" s="1"/>
      <c r="R3" s="1"/>
      <c r="S3" s="1"/>
      <c r="T3" s="1"/>
      <c r="U3" s="1"/>
      <c r="V3" s="1"/>
      <c r="W3" s="1"/>
    </row>
    <row r="4" spans="1:23" ht="21" customHeight="1">
      <c r="A4" s="1"/>
      <c r="B4" s="339" t="s">
        <v>1</v>
      </c>
      <c r="C4" s="340"/>
      <c r="D4" s="13"/>
      <c r="E4" s="14" t="s">
        <v>2</v>
      </c>
      <c r="F4" s="13"/>
      <c r="G4" s="14"/>
      <c r="H4" s="15"/>
      <c r="I4" s="15"/>
      <c r="J4" s="15"/>
      <c r="K4" s="16"/>
      <c r="L4" s="16"/>
      <c r="M4" s="16"/>
      <c r="N4" s="16"/>
      <c r="O4" s="341"/>
      <c r="P4" s="337"/>
      <c r="Q4" s="337"/>
      <c r="R4" s="337"/>
      <c r="S4" s="337"/>
      <c r="T4" s="1"/>
      <c r="U4" s="1"/>
      <c r="V4" s="1"/>
      <c r="W4" s="1"/>
    </row>
    <row r="5" spans="1:23" ht="21" hidden="1" customHeight="1">
      <c r="A5" s="1"/>
      <c r="B5" s="356"/>
      <c r="C5" s="337"/>
      <c r="E5" s="342"/>
      <c r="F5" s="337"/>
      <c r="G5" s="17"/>
      <c r="H5" s="18"/>
      <c r="I5" s="18"/>
      <c r="J5" s="18"/>
      <c r="K5" s="16"/>
      <c r="L5" s="16"/>
      <c r="M5" s="16"/>
      <c r="N5" s="16"/>
      <c r="O5" s="343"/>
      <c r="P5" s="337"/>
      <c r="Q5" s="337"/>
      <c r="R5" s="337"/>
      <c r="S5" s="337"/>
      <c r="T5" s="1"/>
      <c r="U5" s="1"/>
      <c r="V5" s="1"/>
      <c r="W5" s="1"/>
    </row>
    <row r="6" spans="1:23" ht="21" customHeight="1">
      <c r="A6" s="19"/>
      <c r="B6" s="329" t="s">
        <v>3</v>
      </c>
      <c r="C6" s="330"/>
      <c r="E6" s="342"/>
      <c r="F6" s="337"/>
      <c r="G6" s="17"/>
      <c r="H6" s="18"/>
      <c r="I6" s="18"/>
      <c r="J6" s="18"/>
      <c r="K6" s="20" t="s">
        <v>4</v>
      </c>
      <c r="L6" s="21"/>
      <c r="M6" s="21"/>
      <c r="N6" s="21"/>
      <c r="O6" s="21"/>
      <c r="P6" s="21"/>
      <c r="Q6" s="21"/>
      <c r="R6" s="21"/>
      <c r="S6" s="21"/>
      <c r="T6" s="19"/>
      <c r="U6" s="19"/>
      <c r="V6" s="19"/>
      <c r="W6" s="19"/>
    </row>
    <row r="7" spans="1:23" ht="21" hidden="1" customHeight="1">
      <c r="A7" s="19"/>
      <c r="B7" s="22"/>
      <c r="C7" s="22"/>
      <c r="D7" s="22"/>
      <c r="E7" s="22"/>
      <c r="F7" s="22"/>
      <c r="G7" s="22"/>
      <c r="H7" s="22"/>
      <c r="I7" s="22"/>
      <c r="J7" s="22"/>
      <c r="K7" s="22"/>
      <c r="L7" s="21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pans="1:23" ht="17.25" customHeight="1">
      <c r="A8" s="23"/>
      <c r="B8" s="357"/>
      <c r="C8" s="344" t="s">
        <v>5</v>
      </c>
      <c r="D8" s="344"/>
      <c r="E8" s="344" t="s">
        <v>6</v>
      </c>
      <c r="F8" s="344" t="s">
        <v>7</v>
      </c>
      <c r="G8" s="344" t="s">
        <v>8</v>
      </c>
      <c r="H8" s="346" t="s">
        <v>9</v>
      </c>
      <c r="I8" s="347"/>
      <c r="J8" s="348"/>
      <c r="K8" s="349" t="s">
        <v>10</v>
      </c>
      <c r="L8" s="350"/>
      <c r="M8" s="351"/>
      <c r="N8" s="352" t="s">
        <v>11</v>
      </c>
      <c r="O8" s="347"/>
      <c r="P8" s="348"/>
      <c r="Q8" s="353" t="s">
        <v>12</v>
      </c>
      <c r="R8" s="347"/>
      <c r="S8" s="348"/>
      <c r="T8" s="354" t="s">
        <v>13</v>
      </c>
      <c r="U8" s="348"/>
      <c r="V8" s="355" t="s">
        <v>14</v>
      </c>
      <c r="W8" s="348"/>
    </row>
    <row r="9" spans="1:23" ht="17.25" customHeight="1">
      <c r="A9" s="24"/>
      <c r="B9" s="337"/>
      <c r="C9" s="345"/>
      <c r="D9" s="345"/>
      <c r="E9" s="345"/>
      <c r="F9" s="345"/>
      <c r="G9" s="345"/>
      <c r="H9" s="25" t="s">
        <v>15</v>
      </c>
      <c r="I9" s="25" t="s">
        <v>16</v>
      </c>
      <c r="J9" s="26" t="s">
        <v>17</v>
      </c>
      <c r="K9" s="27" t="s">
        <v>18</v>
      </c>
      <c r="L9" s="28" t="s">
        <v>19</v>
      </c>
      <c r="M9" s="25" t="s">
        <v>20</v>
      </c>
      <c r="N9" s="25" t="s">
        <v>21</v>
      </c>
      <c r="O9" s="25" t="s">
        <v>22</v>
      </c>
      <c r="P9" s="25" t="s">
        <v>23</v>
      </c>
      <c r="Q9" s="25" t="s">
        <v>24</v>
      </c>
      <c r="R9" s="25" t="s">
        <v>25</v>
      </c>
      <c r="S9" s="25" t="s">
        <v>26</v>
      </c>
      <c r="T9" s="29" t="s">
        <v>27</v>
      </c>
      <c r="U9" s="30" t="s">
        <v>28</v>
      </c>
      <c r="V9" s="29" t="s">
        <v>27</v>
      </c>
      <c r="W9" s="30" t="s">
        <v>28</v>
      </c>
    </row>
    <row r="10" spans="1:23" ht="21" customHeight="1">
      <c r="A10" s="19"/>
      <c r="B10" s="31"/>
      <c r="C10" s="32" t="s">
        <v>29</v>
      </c>
      <c r="D10" s="33"/>
      <c r="E10" s="33"/>
      <c r="F10" s="33"/>
      <c r="G10" s="33"/>
      <c r="H10" s="34"/>
      <c r="I10" s="35"/>
      <c r="J10" s="36"/>
      <c r="K10" s="37"/>
      <c r="L10" s="34"/>
      <c r="M10" s="34"/>
      <c r="N10" s="34"/>
      <c r="O10" s="34"/>
      <c r="P10" s="34"/>
      <c r="Q10" s="34"/>
      <c r="R10" s="34"/>
      <c r="S10" s="34"/>
      <c r="T10" s="38">
        <f t="shared" ref="T10:W10" si="0">T11+T19+T55+T98+T120+T142+T164+T188</f>
        <v>146364.8787522433</v>
      </c>
      <c r="U10" s="38">
        <f t="shared" si="0"/>
        <v>27713.174580612835</v>
      </c>
      <c r="V10" s="38">
        <f t="shared" si="0"/>
        <v>615532.5434777051</v>
      </c>
      <c r="W10" s="38">
        <f t="shared" si="0"/>
        <v>178165</v>
      </c>
    </row>
    <row r="11" spans="1:23" ht="21" customHeight="1" outlineLevel="1">
      <c r="A11" s="19"/>
      <c r="B11" s="39">
        <v>1</v>
      </c>
      <c r="C11" s="40" t="s">
        <v>30</v>
      </c>
      <c r="D11" s="41"/>
      <c r="E11" s="41"/>
      <c r="F11" s="41"/>
      <c r="G11" s="42"/>
      <c r="H11" s="43"/>
      <c r="I11" s="44"/>
      <c r="J11" s="45"/>
      <c r="K11" s="46"/>
      <c r="L11" s="43"/>
      <c r="M11" s="43"/>
      <c r="N11" s="43"/>
      <c r="O11" s="43"/>
      <c r="P11" s="43"/>
      <c r="Q11" s="43"/>
      <c r="R11" s="43"/>
      <c r="S11" s="43"/>
      <c r="T11" s="47">
        <f t="shared" ref="T11:W11" si="1">T12</f>
        <v>0</v>
      </c>
      <c r="U11" s="47">
        <f t="shared" si="1"/>
        <v>0</v>
      </c>
      <c r="V11" s="47">
        <f t="shared" si="1"/>
        <v>71531</v>
      </c>
      <c r="W11" s="47">
        <f t="shared" si="1"/>
        <v>7160</v>
      </c>
    </row>
    <row r="12" spans="1:23" ht="17.25" customHeight="1" outlineLevel="2">
      <c r="A12" s="48"/>
      <c r="B12" s="49">
        <v>1.1000000000000001</v>
      </c>
      <c r="C12" s="332" t="s">
        <v>31</v>
      </c>
      <c r="D12" s="330"/>
      <c r="E12" s="50">
        <v>45806</v>
      </c>
      <c r="F12" s="50">
        <v>45960</v>
      </c>
      <c r="G12" s="51"/>
      <c r="H12" s="52"/>
      <c r="I12" s="53"/>
      <c r="J12" s="54"/>
      <c r="K12" s="55"/>
      <c r="L12" s="56"/>
      <c r="M12" s="56"/>
      <c r="N12" s="56"/>
      <c r="O12" s="56"/>
      <c r="P12" s="56"/>
      <c r="Q12" s="56"/>
      <c r="R12" s="56"/>
      <c r="S12" s="56"/>
      <c r="T12" s="57">
        <f t="shared" ref="T12:W12" si="2">SUM(T13:T18)</f>
        <v>0</v>
      </c>
      <c r="U12" s="57">
        <f t="shared" si="2"/>
        <v>0</v>
      </c>
      <c r="V12" s="57">
        <f t="shared" si="2"/>
        <v>71531</v>
      </c>
      <c r="W12" s="57">
        <f t="shared" si="2"/>
        <v>7160</v>
      </c>
    </row>
    <row r="13" spans="1:23" ht="17.25" customHeight="1" outlineLevel="2">
      <c r="A13" s="48"/>
      <c r="B13" s="58"/>
      <c r="C13" s="59"/>
      <c r="D13" s="59"/>
      <c r="E13" s="60"/>
      <c r="F13" s="60"/>
      <c r="G13" s="61" t="s">
        <v>32</v>
      </c>
      <c r="H13" s="62"/>
      <c r="I13" s="63"/>
      <c r="J13" s="64"/>
      <c r="K13" s="65"/>
      <c r="L13" s="66"/>
      <c r="M13" s="67">
        <v>4198</v>
      </c>
      <c r="N13" s="67">
        <v>4578</v>
      </c>
      <c r="O13" s="67">
        <v>6969</v>
      </c>
      <c r="P13" s="67">
        <v>4093</v>
      </c>
      <c r="Q13" s="67">
        <v>3853</v>
      </c>
      <c r="R13" s="68"/>
      <c r="S13" s="68"/>
      <c r="T13" s="67"/>
      <c r="U13" s="67"/>
      <c r="V13" s="67">
        <f t="shared" ref="V13:V16" si="3">SUM(L13:S13)</f>
        <v>23691</v>
      </c>
      <c r="W13" s="67"/>
    </row>
    <row r="14" spans="1:23" ht="17.25" customHeight="1" outlineLevel="2">
      <c r="A14" s="48"/>
      <c r="B14" s="58"/>
      <c r="C14" s="59"/>
      <c r="D14" s="59"/>
      <c r="E14" s="60"/>
      <c r="F14" s="60"/>
      <c r="G14" s="61" t="s">
        <v>33</v>
      </c>
      <c r="H14" s="62"/>
      <c r="I14" s="63"/>
      <c r="J14" s="64"/>
      <c r="K14" s="65"/>
      <c r="L14" s="69">
        <v>1620</v>
      </c>
      <c r="M14" s="67">
        <v>4000</v>
      </c>
      <c r="N14" s="67">
        <v>4000</v>
      </c>
      <c r="O14" s="67">
        <v>4000</v>
      </c>
      <c r="P14" s="306">
        <v>9000</v>
      </c>
      <c r="Q14" s="307">
        <v>10000</v>
      </c>
      <c r="R14" s="68"/>
      <c r="S14" s="68"/>
      <c r="T14" s="67"/>
      <c r="U14" s="67"/>
      <c r="V14" s="67">
        <f t="shared" si="3"/>
        <v>32620</v>
      </c>
      <c r="W14" s="67"/>
    </row>
    <row r="15" spans="1:23" ht="17.25" customHeight="1" outlineLevel="2">
      <c r="A15" s="48"/>
      <c r="B15" s="58"/>
      <c r="C15" s="59"/>
      <c r="D15" s="59"/>
      <c r="E15" s="60"/>
      <c r="F15" s="60"/>
      <c r="G15" s="61" t="s">
        <v>34</v>
      </c>
      <c r="H15" s="62"/>
      <c r="I15" s="63"/>
      <c r="J15" s="64"/>
      <c r="K15" s="65"/>
      <c r="L15" s="69">
        <v>620</v>
      </c>
      <c r="M15" s="67">
        <v>1600</v>
      </c>
      <c r="N15" s="67">
        <v>1400</v>
      </c>
      <c r="O15" s="67">
        <v>1350</v>
      </c>
      <c r="P15" s="67">
        <v>1450</v>
      </c>
      <c r="Q15" s="67">
        <v>1100</v>
      </c>
      <c r="R15" s="68"/>
      <c r="S15" s="68"/>
      <c r="T15" s="67"/>
      <c r="U15" s="67"/>
      <c r="V15" s="67">
        <f t="shared" si="3"/>
        <v>7520</v>
      </c>
      <c r="W15" s="67"/>
    </row>
    <row r="16" spans="1:23" ht="17.25" customHeight="1" outlineLevel="2">
      <c r="A16" s="48"/>
      <c r="B16" s="58"/>
      <c r="C16" s="59"/>
      <c r="D16" s="59"/>
      <c r="E16" s="60"/>
      <c r="F16" s="60"/>
      <c r="G16" s="61" t="s">
        <v>35</v>
      </c>
      <c r="H16" s="62"/>
      <c r="I16" s="63"/>
      <c r="J16" s="64"/>
      <c r="K16" s="65"/>
      <c r="L16" s="69">
        <v>450</v>
      </c>
      <c r="M16" s="67">
        <v>1350</v>
      </c>
      <c r="N16" s="67">
        <v>1350</v>
      </c>
      <c r="O16" s="67">
        <v>1350</v>
      </c>
      <c r="P16" s="67">
        <v>1500</v>
      </c>
      <c r="Q16" s="67">
        <v>1700</v>
      </c>
      <c r="R16" s="68"/>
      <c r="S16" s="68"/>
      <c r="T16" s="67"/>
      <c r="U16" s="67"/>
      <c r="V16" s="67">
        <f t="shared" si="3"/>
        <v>7700</v>
      </c>
      <c r="W16" s="67"/>
    </row>
    <row r="17" spans="1:23" ht="17.25" customHeight="1" outlineLevel="2">
      <c r="A17" s="48"/>
      <c r="B17" s="58"/>
      <c r="C17" s="59"/>
      <c r="D17" s="59"/>
      <c r="E17" s="60"/>
      <c r="F17" s="60"/>
      <c r="G17" s="61" t="s">
        <v>36</v>
      </c>
      <c r="H17" s="62"/>
      <c r="I17" s="63"/>
      <c r="J17" s="64"/>
      <c r="K17" s="65"/>
      <c r="L17" s="69">
        <v>400</v>
      </c>
      <c r="M17" s="67">
        <v>1200</v>
      </c>
      <c r="N17" s="67">
        <v>1200</v>
      </c>
      <c r="O17" s="67">
        <v>1300</v>
      </c>
      <c r="P17" s="67">
        <v>1600</v>
      </c>
      <c r="Q17" s="67">
        <v>1460</v>
      </c>
      <c r="R17" s="68"/>
      <c r="S17" s="68"/>
      <c r="T17" s="67"/>
      <c r="U17" s="67"/>
      <c r="V17" s="67"/>
      <c r="W17" s="67">
        <f>SUM(L17:S17)</f>
        <v>7160</v>
      </c>
    </row>
    <row r="18" spans="1:23" ht="17.25" customHeight="1" outlineLevel="2">
      <c r="A18" s="48"/>
      <c r="B18" s="58"/>
      <c r="C18" s="59"/>
      <c r="D18" s="59"/>
      <c r="E18" s="60"/>
      <c r="F18" s="60"/>
      <c r="G18" s="61" t="s">
        <v>37</v>
      </c>
      <c r="H18" s="62"/>
      <c r="I18" s="63"/>
      <c r="J18" s="64"/>
      <c r="K18" s="65"/>
      <c r="L18" s="66"/>
      <c r="M18" s="68"/>
      <c r="N18" s="68"/>
      <c r="O18" s="68"/>
      <c r="P18" s="68"/>
      <c r="Q18" s="68"/>
      <c r="R18" s="68"/>
      <c r="S18" s="68"/>
      <c r="T18" s="67"/>
      <c r="U18" s="67"/>
      <c r="V18" s="67"/>
      <c r="W18" s="67"/>
    </row>
    <row r="19" spans="1:23" ht="21" customHeight="1" outlineLevel="1">
      <c r="A19" s="19"/>
      <c r="B19" s="39">
        <v>2</v>
      </c>
      <c r="C19" s="70" t="s">
        <v>38</v>
      </c>
      <c r="D19" s="42"/>
      <c r="E19" s="71"/>
      <c r="F19" s="71"/>
      <c r="G19" s="72"/>
      <c r="H19" s="73"/>
      <c r="I19" s="73"/>
      <c r="J19" s="74"/>
      <c r="K19" s="75"/>
      <c r="L19" s="73"/>
      <c r="M19" s="73"/>
      <c r="N19" s="73"/>
      <c r="O19" s="73"/>
      <c r="P19" s="73"/>
      <c r="Q19" s="73"/>
      <c r="R19" s="73"/>
      <c r="S19" s="73"/>
      <c r="T19" s="47">
        <f t="shared" ref="T19:W19" si="4">T20+T27+T34+T41+T48</f>
        <v>18169</v>
      </c>
      <c r="U19" s="47">
        <f t="shared" si="4"/>
        <v>752</v>
      </c>
      <c r="V19" s="47">
        <f t="shared" si="4"/>
        <v>125266.46680437462</v>
      </c>
      <c r="W19" s="47">
        <f t="shared" si="4"/>
        <v>13960</v>
      </c>
    </row>
    <row r="20" spans="1:23" ht="17.25" customHeight="1" outlineLevel="2" collapsed="1">
      <c r="A20" s="76"/>
      <c r="B20" s="77">
        <v>2.1</v>
      </c>
      <c r="C20" s="358" t="s">
        <v>39</v>
      </c>
      <c r="D20" s="340"/>
      <c r="E20" s="78">
        <v>45750</v>
      </c>
      <c r="F20" s="79">
        <v>45784</v>
      </c>
      <c r="G20" s="80"/>
      <c r="H20" s="81"/>
      <c r="I20" s="82"/>
      <c r="J20" s="83"/>
      <c r="K20" s="84"/>
      <c r="L20" s="85"/>
      <c r="M20" s="86"/>
      <c r="N20" s="86"/>
      <c r="O20" s="86"/>
      <c r="P20" s="86"/>
      <c r="Q20" s="86"/>
      <c r="R20" s="86"/>
      <c r="S20" s="86"/>
      <c r="T20" s="87">
        <f t="shared" ref="T20:W20" si="5">SUM(T21:T26)</f>
        <v>18169</v>
      </c>
      <c r="U20" s="87">
        <f t="shared" si="5"/>
        <v>752</v>
      </c>
      <c r="V20" s="87">
        <f t="shared" si="5"/>
        <v>5364</v>
      </c>
      <c r="W20" s="87">
        <f t="shared" si="5"/>
        <v>360</v>
      </c>
    </row>
    <row r="21" spans="1:23" ht="17.25" hidden="1" customHeight="1" outlineLevel="3">
      <c r="A21" s="48"/>
      <c r="B21" s="58"/>
      <c r="C21" s="59"/>
      <c r="D21" s="59"/>
      <c r="E21" s="60"/>
      <c r="F21" s="60"/>
      <c r="G21" s="61" t="s">
        <v>32</v>
      </c>
      <c r="H21" s="62"/>
      <c r="I21" s="63"/>
      <c r="J21" s="64"/>
      <c r="K21" s="88">
        <v>10852</v>
      </c>
      <c r="L21" s="69"/>
      <c r="M21" s="67"/>
      <c r="N21" s="67"/>
      <c r="O21" s="67"/>
      <c r="P21" s="67"/>
      <c r="Q21" s="67"/>
      <c r="R21" s="68"/>
      <c r="S21" s="68"/>
      <c r="T21" s="67">
        <f t="shared" ref="T21:T24" si="6">SUM(H21:K21)</f>
        <v>10852</v>
      </c>
      <c r="U21" s="67"/>
      <c r="V21" s="67"/>
      <c r="W21" s="67"/>
    </row>
    <row r="22" spans="1:23" ht="17.25" hidden="1" customHeight="1" outlineLevel="3">
      <c r="A22" s="48"/>
      <c r="B22" s="58"/>
      <c r="C22" s="59"/>
      <c r="D22" s="59"/>
      <c r="E22" s="60"/>
      <c r="F22" s="60"/>
      <c r="G22" s="61" t="s">
        <v>33</v>
      </c>
      <c r="H22" s="62"/>
      <c r="I22" s="63"/>
      <c r="J22" s="64"/>
      <c r="K22" s="88">
        <v>535</v>
      </c>
      <c r="L22" s="69">
        <v>450</v>
      </c>
      <c r="M22" s="67"/>
      <c r="N22" s="67"/>
      <c r="O22" s="67"/>
      <c r="P22" s="67"/>
      <c r="Q22" s="67"/>
      <c r="R22" s="68"/>
      <c r="S22" s="68"/>
      <c r="T22" s="67">
        <f t="shared" si="6"/>
        <v>535</v>
      </c>
      <c r="U22" s="67"/>
      <c r="V22" s="67">
        <f t="shared" ref="V22:V24" si="7">SUM(L22:S22)</f>
        <v>450</v>
      </c>
      <c r="W22" s="67"/>
    </row>
    <row r="23" spans="1:23" ht="17.25" hidden="1" customHeight="1" outlineLevel="3">
      <c r="A23" s="48"/>
      <c r="B23" s="58"/>
      <c r="C23" s="59"/>
      <c r="D23" s="59"/>
      <c r="E23" s="60"/>
      <c r="F23" s="60"/>
      <c r="G23" s="61" t="s">
        <v>34</v>
      </c>
      <c r="H23" s="62"/>
      <c r="I23" s="63"/>
      <c r="J23" s="64"/>
      <c r="K23" s="88">
        <v>3539</v>
      </c>
      <c r="L23" s="69">
        <v>3397</v>
      </c>
      <c r="M23" s="67"/>
      <c r="N23" s="67"/>
      <c r="O23" s="67"/>
      <c r="P23" s="67"/>
      <c r="Q23" s="67"/>
      <c r="R23" s="68"/>
      <c r="S23" s="68"/>
      <c r="T23" s="67">
        <f t="shared" si="6"/>
        <v>3539</v>
      </c>
      <c r="U23" s="67"/>
      <c r="V23" s="67">
        <f t="shared" si="7"/>
        <v>3397</v>
      </c>
      <c r="W23" s="67"/>
    </row>
    <row r="24" spans="1:23" ht="17.25" hidden="1" customHeight="1" outlineLevel="3">
      <c r="A24" s="48"/>
      <c r="B24" s="58"/>
      <c r="C24" s="59"/>
      <c r="D24" s="59"/>
      <c r="E24" s="60"/>
      <c r="F24" s="60"/>
      <c r="G24" s="61" t="s">
        <v>35</v>
      </c>
      <c r="H24" s="62"/>
      <c r="I24" s="63"/>
      <c r="J24" s="64"/>
      <c r="K24" s="88">
        <v>3243</v>
      </c>
      <c r="L24" s="69">
        <v>1517</v>
      </c>
      <c r="M24" s="67"/>
      <c r="N24" s="67"/>
      <c r="O24" s="67"/>
      <c r="P24" s="67"/>
      <c r="Q24" s="67"/>
      <c r="R24" s="68"/>
      <c r="S24" s="68"/>
      <c r="T24" s="67">
        <f t="shared" si="6"/>
        <v>3243</v>
      </c>
      <c r="U24" s="67"/>
      <c r="V24" s="67">
        <f t="shared" si="7"/>
        <v>1517</v>
      </c>
      <c r="W24" s="67"/>
    </row>
    <row r="25" spans="1:23" ht="17.25" hidden="1" customHeight="1" outlineLevel="3">
      <c r="A25" s="48"/>
      <c r="B25" s="58"/>
      <c r="C25" s="59"/>
      <c r="D25" s="59"/>
      <c r="E25" s="60"/>
      <c r="F25" s="60"/>
      <c r="G25" s="61" t="s">
        <v>36</v>
      </c>
      <c r="H25" s="62"/>
      <c r="I25" s="63"/>
      <c r="J25" s="64"/>
      <c r="K25" s="88">
        <v>752</v>
      </c>
      <c r="L25" s="69">
        <v>360</v>
      </c>
      <c r="M25" s="67"/>
      <c r="N25" s="67"/>
      <c r="O25" s="67"/>
      <c r="P25" s="67"/>
      <c r="Q25" s="67"/>
      <c r="R25" s="68"/>
      <c r="S25" s="68"/>
      <c r="T25" s="67"/>
      <c r="U25" s="67">
        <f>SUM(H25:K25)</f>
        <v>752</v>
      </c>
      <c r="V25" s="67"/>
      <c r="W25" s="67">
        <f>SUM(L25:S25)</f>
        <v>360</v>
      </c>
    </row>
    <row r="26" spans="1:23" ht="17.25" hidden="1" customHeight="1" outlineLevel="3">
      <c r="A26" s="48"/>
      <c r="B26" s="58"/>
      <c r="C26" s="59"/>
      <c r="D26" s="59"/>
      <c r="E26" s="60"/>
      <c r="F26" s="60"/>
      <c r="G26" s="61" t="s">
        <v>37</v>
      </c>
      <c r="H26" s="62"/>
      <c r="I26" s="63"/>
      <c r="J26" s="64"/>
      <c r="K26" s="65"/>
      <c r="L26" s="69"/>
      <c r="M26" s="67"/>
      <c r="N26" s="67"/>
      <c r="O26" s="67"/>
      <c r="P26" s="67"/>
      <c r="Q26" s="67"/>
      <c r="R26" s="68"/>
      <c r="S26" s="68"/>
      <c r="T26" s="67"/>
      <c r="U26" s="67"/>
      <c r="V26" s="67"/>
      <c r="W26" s="67"/>
    </row>
    <row r="27" spans="1:23" ht="17.25" customHeight="1" outlineLevel="2">
      <c r="A27" s="76"/>
      <c r="B27" s="77">
        <v>2.2000000000000002</v>
      </c>
      <c r="C27" s="358" t="s">
        <v>40</v>
      </c>
      <c r="D27" s="340"/>
      <c r="E27" s="89">
        <v>45786</v>
      </c>
      <c r="F27" s="79">
        <v>45823</v>
      </c>
      <c r="G27" s="90"/>
      <c r="H27" s="81"/>
      <c r="I27" s="82"/>
      <c r="J27" s="83"/>
      <c r="K27" s="84"/>
      <c r="L27" s="85"/>
      <c r="M27" s="86"/>
      <c r="N27" s="86"/>
      <c r="O27" s="86"/>
      <c r="P27" s="86"/>
      <c r="Q27" s="86"/>
      <c r="R27" s="86"/>
      <c r="S27" s="86"/>
      <c r="T27" s="91">
        <f t="shared" ref="T27:W27" si="8">SUM(T28:T33)</f>
        <v>0</v>
      </c>
      <c r="U27" s="91">
        <f t="shared" si="8"/>
        <v>0</v>
      </c>
      <c r="V27" s="91">
        <f t="shared" si="8"/>
        <v>42627.466804374613</v>
      </c>
      <c r="W27" s="91">
        <f t="shared" si="8"/>
        <v>2750</v>
      </c>
    </row>
    <row r="28" spans="1:23" ht="17.25" customHeight="1" outlineLevel="3">
      <c r="A28" s="48"/>
      <c r="B28" s="58"/>
      <c r="C28" s="59"/>
      <c r="D28" s="59"/>
      <c r="E28" s="60"/>
      <c r="F28" s="60"/>
      <c r="G28" s="61" t="s">
        <v>32</v>
      </c>
      <c r="H28" s="62"/>
      <c r="I28" s="63"/>
      <c r="J28" s="64"/>
      <c r="K28" s="88"/>
      <c r="L28" s="69">
        <v>21154.190292612344</v>
      </c>
      <c r="M28" s="69">
        <v>4993.2765117622703</v>
      </c>
      <c r="N28" s="67"/>
      <c r="O28" s="67"/>
      <c r="P28" s="67"/>
      <c r="Q28" s="67"/>
      <c r="R28" s="68"/>
      <c r="S28" s="68"/>
      <c r="T28" s="67">
        <f t="shared" ref="T28:T33" si="9">SUM(H28:K28)</f>
        <v>0</v>
      </c>
      <c r="U28" s="67">
        <f t="shared" ref="U28:U33" si="10">SUM(H28:K28)</f>
        <v>0</v>
      </c>
      <c r="V28" s="67">
        <f t="shared" ref="V28:V31" si="11">SUM(L28:S28)</f>
        <v>26147.466804374613</v>
      </c>
      <c r="W28" s="67"/>
    </row>
    <row r="29" spans="1:23" ht="17.25" customHeight="1" outlineLevel="3">
      <c r="A29" s="48"/>
      <c r="B29" s="58"/>
      <c r="C29" s="59"/>
      <c r="D29" s="59"/>
      <c r="E29" s="60"/>
      <c r="F29" s="60"/>
      <c r="G29" s="61" t="s">
        <v>33</v>
      </c>
      <c r="H29" s="62"/>
      <c r="I29" s="63"/>
      <c r="J29" s="64"/>
      <c r="K29" s="88"/>
      <c r="L29" s="69">
        <v>3720</v>
      </c>
      <c r="M29" s="67">
        <v>1860</v>
      </c>
      <c r="N29" s="67"/>
      <c r="O29" s="67"/>
      <c r="P29" s="67"/>
      <c r="Q29" s="67"/>
      <c r="R29" s="68"/>
      <c r="S29" s="68"/>
      <c r="T29" s="67">
        <f t="shared" si="9"/>
        <v>0</v>
      </c>
      <c r="U29" s="67">
        <f t="shared" si="10"/>
        <v>0</v>
      </c>
      <c r="V29" s="67">
        <f t="shared" si="11"/>
        <v>5580</v>
      </c>
      <c r="W29" s="67"/>
    </row>
    <row r="30" spans="1:23" ht="17.25" customHeight="1" outlineLevel="3">
      <c r="A30" s="48"/>
      <c r="B30" s="58"/>
      <c r="C30" s="59"/>
      <c r="D30" s="59"/>
      <c r="E30" s="60"/>
      <c r="F30" s="60"/>
      <c r="G30" s="61" t="s">
        <v>34</v>
      </c>
      <c r="H30" s="62"/>
      <c r="I30" s="63"/>
      <c r="J30" s="64"/>
      <c r="K30" s="88"/>
      <c r="L30" s="92">
        <v>2500</v>
      </c>
      <c r="M30" s="93">
        <v>1400</v>
      </c>
      <c r="N30" s="67"/>
      <c r="O30" s="67"/>
      <c r="P30" s="67"/>
      <c r="Q30" s="67"/>
      <c r="R30" s="68"/>
      <c r="S30" s="68"/>
      <c r="T30" s="67">
        <f t="shared" si="9"/>
        <v>0</v>
      </c>
      <c r="U30" s="67">
        <f t="shared" si="10"/>
        <v>0</v>
      </c>
      <c r="V30" s="67">
        <f t="shared" si="11"/>
        <v>3900</v>
      </c>
      <c r="W30" s="67"/>
    </row>
    <row r="31" spans="1:23" ht="17.25" customHeight="1" outlineLevel="3">
      <c r="A31" s="48"/>
      <c r="B31" s="58"/>
      <c r="C31" s="59"/>
      <c r="D31" s="59"/>
      <c r="E31" s="60"/>
      <c r="F31" s="60"/>
      <c r="G31" s="61" t="s">
        <v>35</v>
      </c>
      <c r="H31" s="62"/>
      <c r="I31" s="63"/>
      <c r="J31" s="64"/>
      <c r="K31" s="88"/>
      <c r="L31" s="92">
        <v>4500</v>
      </c>
      <c r="M31" s="93">
        <v>2500</v>
      </c>
      <c r="N31" s="67"/>
      <c r="O31" s="67"/>
      <c r="P31" s="67"/>
      <c r="Q31" s="67"/>
      <c r="R31" s="68"/>
      <c r="S31" s="68"/>
      <c r="T31" s="67">
        <f t="shared" si="9"/>
        <v>0</v>
      </c>
      <c r="U31" s="67">
        <f t="shared" si="10"/>
        <v>0</v>
      </c>
      <c r="V31" s="67">
        <f t="shared" si="11"/>
        <v>7000</v>
      </c>
      <c r="W31" s="67"/>
    </row>
    <row r="32" spans="1:23" ht="17.25" customHeight="1" outlineLevel="3">
      <c r="A32" s="48"/>
      <c r="B32" s="58"/>
      <c r="C32" s="59"/>
      <c r="D32" s="59"/>
      <c r="E32" s="60"/>
      <c r="F32" s="60"/>
      <c r="G32" s="61" t="s">
        <v>36</v>
      </c>
      <c r="H32" s="62"/>
      <c r="I32" s="63"/>
      <c r="J32" s="64"/>
      <c r="K32" s="88"/>
      <c r="L32" s="69">
        <v>1750</v>
      </c>
      <c r="M32" s="67">
        <v>1000</v>
      </c>
      <c r="N32" s="67"/>
      <c r="O32" s="67"/>
      <c r="P32" s="67"/>
      <c r="Q32" s="67"/>
      <c r="R32" s="68"/>
      <c r="S32" s="68"/>
      <c r="T32" s="67">
        <f t="shared" si="9"/>
        <v>0</v>
      </c>
      <c r="U32" s="67">
        <f t="shared" si="10"/>
        <v>0</v>
      </c>
      <c r="V32" s="67"/>
      <c r="W32" s="67">
        <f>SUM(L32:S32)</f>
        <v>2750</v>
      </c>
    </row>
    <row r="33" spans="1:23" ht="17.25" customHeight="1" outlineLevel="3">
      <c r="A33" s="48"/>
      <c r="B33" s="58"/>
      <c r="C33" s="59"/>
      <c r="D33" s="59"/>
      <c r="E33" s="60"/>
      <c r="F33" s="60"/>
      <c r="G33" s="61" t="s">
        <v>37</v>
      </c>
      <c r="H33" s="62"/>
      <c r="I33" s="63"/>
      <c r="J33" s="64"/>
      <c r="K33" s="65"/>
      <c r="L33" s="69"/>
      <c r="M33" s="67"/>
      <c r="N33" s="67"/>
      <c r="O33" s="67"/>
      <c r="P33" s="67"/>
      <c r="Q33" s="67"/>
      <c r="R33" s="68"/>
      <c r="S33" s="68"/>
      <c r="T33" s="67">
        <f t="shared" si="9"/>
        <v>0</v>
      </c>
      <c r="U33" s="67">
        <f t="shared" si="10"/>
        <v>0</v>
      </c>
      <c r="V33" s="67"/>
      <c r="W33" s="67"/>
    </row>
    <row r="34" spans="1:23" ht="17.25" customHeight="1" outlineLevel="2">
      <c r="A34" s="76"/>
      <c r="B34" s="77">
        <v>2.2999999999999998</v>
      </c>
      <c r="C34" s="358" t="s">
        <v>41</v>
      </c>
      <c r="D34" s="340"/>
      <c r="E34" s="78">
        <v>45839</v>
      </c>
      <c r="F34" s="78">
        <v>45900</v>
      </c>
      <c r="G34" s="80"/>
      <c r="H34" s="94"/>
      <c r="I34" s="95"/>
      <c r="J34" s="96"/>
      <c r="K34" s="97"/>
      <c r="L34" s="98"/>
      <c r="M34" s="99"/>
      <c r="N34" s="99"/>
      <c r="O34" s="99"/>
      <c r="P34" s="99"/>
      <c r="Q34" s="99"/>
      <c r="R34" s="99"/>
      <c r="S34" s="99"/>
      <c r="T34" s="91">
        <f t="shared" ref="T34:W34" si="12">SUM(T35:T40)</f>
        <v>0</v>
      </c>
      <c r="U34" s="91">
        <f t="shared" si="12"/>
        <v>0</v>
      </c>
      <c r="V34" s="91">
        <f t="shared" si="12"/>
        <v>37604</v>
      </c>
      <c r="W34" s="91">
        <f t="shared" si="12"/>
        <v>10850</v>
      </c>
    </row>
    <row r="35" spans="1:23" ht="17.25" customHeight="1" outlineLevel="3">
      <c r="A35" s="48"/>
      <c r="B35" s="58"/>
      <c r="C35" s="59"/>
      <c r="D35" s="59"/>
      <c r="E35" s="60"/>
      <c r="F35" s="60"/>
      <c r="G35" s="61" t="s">
        <v>32</v>
      </c>
      <c r="H35" s="62"/>
      <c r="I35" s="63"/>
      <c r="J35" s="64"/>
      <c r="K35" s="100"/>
      <c r="L35" s="101"/>
      <c r="M35" s="102"/>
      <c r="N35" s="103">
        <v>4602</v>
      </c>
      <c r="O35" s="103">
        <v>4602</v>
      </c>
      <c r="P35" s="67"/>
      <c r="Q35" s="67"/>
      <c r="R35" s="68"/>
      <c r="S35" s="68"/>
      <c r="T35" s="67">
        <f t="shared" ref="T35:T38" si="13">SUM(H35:K35)</f>
        <v>0</v>
      </c>
      <c r="U35" s="67"/>
      <c r="V35" s="67">
        <f t="shared" ref="V35:V37" si="14">SUM(L35:S35)</f>
        <v>9204</v>
      </c>
      <c r="W35" s="67"/>
    </row>
    <row r="36" spans="1:23" ht="17.25" customHeight="1" outlineLevel="3">
      <c r="A36" s="48"/>
      <c r="B36" s="58"/>
      <c r="C36" s="59"/>
      <c r="D36" s="59"/>
      <c r="E36" s="60"/>
      <c r="F36" s="60"/>
      <c r="G36" s="61" t="s">
        <v>33</v>
      </c>
      <c r="H36" s="62"/>
      <c r="I36" s="63"/>
      <c r="J36" s="64"/>
      <c r="K36" s="100"/>
      <c r="L36" s="69"/>
      <c r="M36" s="67"/>
      <c r="N36" s="67">
        <v>6880</v>
      </c>
      <c r="O36" s="67">
        <v>6880</v>
      </c>
      <c r="P36" s="67"/>
      <c r="Q36" s="67"/>
      <c r="R36" s="68"/>
      <c r="S36" s="68"/>
      <c r="T36" s="67">
        <f t="shared" si="13"/>
        <v>0</v>
      </c>
      <c r="U36" s="67"/>
      <c r="V36" s="67">
        <f t="shared" si="14"/>
        <v>13760</v>
      </c>
      <c r="W36" s="67"/>
    </row>
    <row r="37" spans="1:23" ht="17.25" customHeight="1" outlineLevel="3">
      <c r="A37" s="48"/>
      <c r="B37" s="58"/>
      <c r="C37" s="59"/>
      <c r="D37" s="59"/>
      <c r="E37" s="60"/>
      <c r="F37" s="60"/>
      <c r="G37" s="61" t="s">
        <v>34</v>
      </c>
      <c r="H37" s="62"/>
      <c r="I37" s="63"/>
      <c r="J37" s="64"/>
      <c r="K37" s="100"/>
      <c r="L37" s="92"/>
      <c r="M37" s="93"/>
      <c r="N37" s="67">
        <v>7320</v>
      </c>
      <c r="O37" s="67">
        <v>7320</v>
      </c>
      <c r="P37" s="67"/>
      <c r="Q37" s="67"/>
      <c r="R37" s="68"/>
      <c r="S37" s="68"/>
      <c r="T37" s="67">
        <f t="shared" si="13"/>
        <v>0</v>
      </c>
      <c r="U37" s="67"/>
      <c r="V37" s="67">
        <f t="shared" si="14"/>
        <v>14640</v>
      </c>
      <c r="W37" s="67"/>
    </row>
    <row r="38" spans="1:23" ht="17.25" customHeight="1" outlineLevel="3">
      <c r="A38" s="48"/>
      <c r="B38" s="58"/>
      <c r="C38" s="59"/>
      <c r="D38" s="59"/>
      <c r="E38" s="60"/>
      <c r="F38" s="60"/>
      <c r="G38" s="61" t="s">
        <v>35</v>
      </c>
      <c r="H38" s="62"/>
      <c r="I38" s="63"/>
      <c r="J38" s="64"/>
      <c r="K38" s="100"/>
      <c r="L38" s="104"/>
      <c r="M38" s="105"/>
      <c r="N38" s="67">
        <v>4250</v>
      </c>
      <c r="O38" s="67">
        <v>4100</v>
      </c>
      <c r="P38" s="67"/>
      <c r="Q38" s="67"/>
      <c r="R38" s="68"/>
      <c r="S38" s="68"/>
      <c r="T38" s="67">
        <f t="shared" si="13"/>
        <v>0</v>
      </c>
      <c r="U38" s="67"/>
      <c r="V38" s="67"/>
      <c r="W38" s="67">
        <f t="shared" ref="W38:W39" si="15">SUM(L38:S38)</f>
        <v>8350</v>
      </c>
    </row>
    <row r="39" spans="1:23" ht="17.25" customHeight="1" outlineLevel="3">
      <c r="A39" s="48"/>
      <c r="B39" s="58"/>
      <c r="C39" s="59"/>
      <c r="D39" s="59"/>
      <c r="E39" s="60"/>
      <c r="F39" s="60"/>
      <c r="G39" s="61" t="s">
        <v>36</v>
      </c>
      <c r="H39" s="62"/>
      <c r="I39" s="63"/>
      <c r="J39" s="64"/>
      <c r="K39" s="100"/>
      <c r="L39" s="69"/>
      <c r="M39" s="67"/>
      <c r="N39" s="67">
        <v>1250</v>
      </c>
      <c r="O39" s="67">
        <v>1250</v>
      </c>
      <c r="P39" s="67"/>
      <c r="Q39" s="67"/>
      <c r="R39" s="68"/>
      <c r="S39" s="68"/>
      <c r="T39" s="67"/>
      <c r="U39" s="67">
        <f>SUM(H39:K39)</f>
        <v>0</v>
      </c>
      <c r="V39" s="67"/>
      <c r="W39" s="67">
        <f t="shared" si="15"/>
        <v>2500</v>
      </c>
    </row>
    <row r="40" spans="1:23" ht="17.25" customHeight="1" outlineLevel="3">
      <c r="A40" s="48"/>
      <c r="B40" s="58"/>
      <c r="C40" s="59"/>
      <c r="D40" s="59"/>
      <c r="E40" s="60"/>
      <c r="F40" s="60"/>
      <c r="G40" s="61" t="s">
        <v>37</v>
      </c>
      <c r="H40" s="62"/>
      <c r="I40" s="63"/>
      <c r="J40" s="64"/>
      <c r="K40" s="65"/>
      <c r="L40" s="69"/>
      <c r="M40" s="67"/>
      <c r="N40" s="67"/>
      <c r="O40" s="67"/>
      <c r="P40" s="67"/>
      <c r="Q40" s="67"/>
      <c r="R40" s="68"/>
      <c r="S40" s="68"/>
      <c r="T40" s="67"/>
      <c r="U40" s="67"/>
      <c r="V40" s="67"/>
      <c r="W40" s="67"/>
    </row>
    <row r="41" spans="1:23" ht="17.25" customHeight="1" outlineLevel="2">
      <c r="A41" s="76"/>
      <c r="B41" s="77">
        <v>2.4</v>
      </c>
      <c r="C41" s="358" t="s">
        <v>42</v>
      </c>
      <c r="D41" s="340"/>
      <c r="E41" s="106">
        <v>45901</v>
      </c>
      <c r="F41" s="106">
        <v>45930</v>
      </c>
      <c r="G41" s="107"/>
      <c r="H41" s="94"/>
      <c r="I41" s="95"/>
      <c r="J41" s="96"/>
      <c r="K41" s="97"/>
      <c r="L41" s="98"/>
      <c r="M41" s="99"/>
      <c r="N41" s="99"/>
      <c r="O41" s="99"/>
      <c r="P41" s="99"/>
      <c r="Q41" s="99"/>
      <c r="R41" s="99"/>
      <c r="S41" s="99"/>
      <c r="T41" s="91">
        <f t="shared" ref="T41:W41" si="16">SUM(T42:T47)</f>
        <v>0</v>
      </c>
      <c r="U41" s="91">
        <f t="shared" si="16"/>
        <v>0</v>
      </c>
      <c r="V41" s="91">
        <f t="shared" si="16"/>
        <v>14326</v>
      </c>
      <c r="W41" s="91">
        <f t="shared" si="16"/>
        <v>0</v>
      </c>
    </row>
    <row r="42" spans="1:23" ht="17.25" customHeight="1" outlineLevel="3">
      <c r="A42" s="48"/>
      <c r="B42" s="58"/>
      <c r="C42" s="59"/>
      <c r="D42" s="59"/>
      <c r="E42" s="60"/>
      <c r="F42" s="60"/>
      <c r="G42" s="61" t="s">
        <v>32</v>
      </c>
      <c r="H42" s="62"/>
      <c r="I42" s="63"/>
      <c r="J42" s="64"/>
      <c r="K42" s="100"/>
      <c r="L42" s="101"/>
      <c r="M42" s="102"/>
      <c r="N42" s="67"/>
      <c r="O42" s="67"/>
      <c r="P42" s="108">
        <v>2553</v>
      </c>
      <c r="Q42" s="108">
        <v>2553</v>
      </c>
      <c r="R42" s="68"/>
      <c r="S42" s="68"/>
      <c r="T42" s="67"/>
      <c r="U42" s="67"/>
      <c r="V42" s="67">
        <f t="shared" ref="V42:V47" si="17">SUM(L42:S42)</f>
        <v>5106</v>
      </c>
      <c r="W42" s="67"/>
    </row>
    <row r="43" spans="1:23" ht="17.25" customHeight="1" outlineLevel="3">
      <c r="A43" s="48"/>
      <c r="B43" s="58"/>
      <c r="C43" s="59"/>
      <c r="D43" s="59"/>
      <c r="E43" s="60"/>
      <c r="F43" s="60"/>
      <c r="G43" s="61" t="s">
        <v>33</v>
      </c>
      <c r="H43" s="62"/>
      <c r="I43" s="63"/>
      <c r="J43" s="64"/>
      <c r="K43" s="100"/>
      <c r="L43" s="69"/>
      <c r="M43" s="67"/>
      <c r="N43" s="67"/>
      <c r="O43" s="67"/>
      <c r="P43" s="69">
        <v>3720</v>
      </c>
      <c r="Q43" s="67"/>
      <c r="R43" s="68"/>
      <c r="S43" s="68"/>
      <c r="T43" s="67"/>
      <c r="U43" s="67"/>
      <c r="V43" s="67">
        <f t="shared" si="17"/>
        <v>3720</v>
      </c>
      <c r="W43" s="67"/>
    </row>
    <row r="44" spans="1:23" ht="17.25" customHeight="1" outlineLevel="3">
      <c r="A44" s="48"/>
      <c r="B44" s="58"/>
      <c r="C44" s="59"/>
      <c r="D44" s="59"/>
      <c r="E44" s="60"/>
      <c r="F44" s="60"/>
      <c r="G44" s="61" t="s">
        <v>34</v>
      </c>
      <c r="H44" s="62"/>
      <c r="I44" s="63"/>
      <c r="J44" s="64"/>
      <c r="K44" s="100"/>
      <c r="L44" s="92"/>
      <c r="M44" s="93"/>
      <c r="N44" s="67"/>
      <c r="O44" s="67"/>
      <c r="P44" s="92">
        <v>2500</v>
      </c>
      <c r="Q44" s="67"/>
      <c r="R44" s="68"/>
      <c r="S44" s="68"/>
      <c r="T44" s="67"/>
      <c r="U44" s="67"/>
      <c r="V44" s="67">
        <f t="shared" si="17"/>
        <v>2500</v>
      </c>
      <c r="W44" s="67"/>
    </row>
    <row r="45" spans="1:23" ht="17.25" customHeight="1" outlineLevel="3">
      <c r="A45" s="48"/>
      <c r="B45" s="58"/>
      <c r="C45" s="59"/>
      <c r="D45" s="59"/>
      <c r="E45" s="60"/>
      <c r="F45" s="60"/>
      <c r="G45" s="61" t="s">
        <v>35</v>
      </c>
      <c r="H45" s="62"/>
      <c r="I45" s="63"/>
      <c r="J45" s="64"/>
      <c r="K45" s="100"/>
      <c r="L45" s="104"/>
      <c r="M45" s="105"/>
      <c r="N45" s="67"/>
      <c r="O45" s="67"/>
      <c r="P45" s="109">
        <v>3000</v>
      </c>
      <c r="Q45" s="67"/>
      <c r="R45" s="68"/>
      <c r="S45" s="68"/>
      <c r="T45" s="67"/>
      <c r="U45" s="67"/>
      <c r="V45" s="67">
        <f t="shared" si="17"/>
        <v>3000</v>
      </c>
      <c r="W45" s="67"/>
    </row>
    <row r="46" spans="1:23" ht="17.25" customHeight="1" outlineLevel="3">
      <c r="A46" s="48"/>
      <c r="B46" s="58"/>
      <c r="C46" s="59"/>
      <c r="D46" s="59"/>
      <c r="E46" s="60"/>
      <c r="F46" s="60"/>
      <c r="G46" s="61" t="s">
        <v>36</v>
      </c>
      <c r="H46" s="62"/>
      <c r="I46" s="63"/>
      <c r="J46" s="64"/>
      <c r="K46" s="100"/>
      <c r="L46" s="69"/>
      <c r="M46" s="67"/>
      <c r="N46" s="67"/>
      <c r="O46" s="67"/>
      <c r="P46" s="69"/>
      <c r="Q46" s="67"/>
      <c r="R46" s="68"/>
      <c r="S46" s="68"/>
      <c r="T46" s="67"/>
      <c r="U46" s="67"/>
      <c r="V46" s="67">
        <f t="shared" si="17"/>
        <v>0</v>
      </c>
      <c r="W46" s="67"/>
    </row>
    <row r="47" spans="1:23" ht="17.25" customHeight="1" outlineLevel="3">
      <c r="A47" s="48"/>
      <c r="B47" s="58"/>
      <c r="C47" s="59"/>
      <c r="D47" s="59"/>
      <c r="E47" s="60"/>
      <c r="F47" s="60"/>
      <c r="G47" s="61" t="s">
        <v>37</v>
      </c>
      <c r="H47" s="62"/>
      <c r="I47" s="63"/>
      <c r="J47" s="64"/>
      <c r="K47" s="65"/>
      <c r="L47" s="69"/>
      <c r="M47" s="67"/>
      <c r="N47" s="67"/>
      <c r="O47" s="67"/>
      <c r="P47" s="67"/>
      <c r="Q47" s="67"/>
      <c r="R47" s="68"/>
      <c r="S47" s="68"/>
      <c r="T47" s="67"/>
      <c r="U47" s="67"/>
      <c r="V47" s="67">
        <f t="shared" si="17"/>
        <v>0</v>
      </c>
      <c r="W47" s="67"/>
    </row>
    <row r="48" spans="1:23" ht="17.25" customHeight="1" outlineLevel="2">
      <c r="A48" s="76"/>
      <c r="B48" s="77">
        <v>2.5</v>
      </c>
      <c r="C48" s="358" t="s">
        <v>43</v>
      </c>
      <c r="D48" s="340"/>
      <c r="E48" s="78">
        <v>45992</v>
      </c>
      <c r="F48" s="78">
        <v>46022</v>
      </c>
      <c r="G48" s="80"/>
      <c r="H48" s="94"/>
      <c r="I48" s="95"/>
      <c r="J48" s="96"/>
      <c r="K48" s="97"/>
      <c r="L48" s="98"/>
      <c r="M48" s="99"/>
      <c r="N48" s="99"/>
      <c r="O48" s="99"/>
      <c r="P48" s="99"/>
      <c r="Q48" s="99"/>
      <c r="R48" s="99"/>
      <c r="S48" s="99"/>
      <c r="T48" s="91">
        <f t="shared" ref="T48:W48" si="18">SUM(T49:T54)</f>
        <v>0</v>
      </c>
      <c r="U48" s="91">
        <f t="shared" si="18"/>
        <v>0</v>
      </c>
      <c r="V48" s="91">
        <f t="shared" si="18"/>
        <v>25345</v>
      </c>
      <c r="W48" s="91">
        <f t="shared" si="18"/>
        <v>0</v>
      </c>
    </row>
    <row r="49" spans="1:23" ht="17.25" customHeight="1" outlineLevel="3">
      <c r="A49" s="48"/>
      <c r="B49" s="58"/>
      <c r="C49" s="59"/>
      <c r="D49" s="59"/>
      <c r="E49" s="60"/>
      <c r="F49" s="60"/>
      <c r="G49" s="61" t="s">
        <v>32</v>
      </c>
      <c r="H49" s="62"/>
      <c r="I49" s="63"/>
      <c r="J49" s="64"/>
      <c r="K49" s="100"/>
      <c r="L49" s="101"/>
      <c r="M49" s="102"/>
      <c r="N49" s="67"/>
      <c r="O49" s="67"/>
      <c r="P49" s="67"/>
      <c r="Q49" s="67"/>
      <c r="R49" s="68"/>
      <c r="S49" s="110">
        <v>16745</v>
      </c>
      <c r="T49" s="67"/>
      <c r="U49" s="67"/>
      <c r="V49" s="67">
        <f t="shared" ref="V49:V54" si="19">SUM(L49:S49)</f>
        <v>16745</v>
      </c>
      <c r="W49" s="67"/>
    </row>
    <row r="50" spans="1:23" ht="17.25" customHeight="1" outlineLevel="3">
      <c r="A50" s="48"/>
      <c r="B50" s="58"/>
      <c r="C50" s="59"/>
      <c r="D50" s="59"/>
      <c r="E50" s="60"/>
      <c r="F50" s="60"/>
      <c r="G50" s="61" t="s">
        <v>33</v>
      </c>
      <c r="H50" s="62"/>
      <c r="I50" s="63"/>
      <c r="J50" s="64"/>
      <c r="K50" s="100"/>
      <c r="L50" s="69"/>
      <c r="M50" s="67"/>
      <c r="N50" s="67"/>
      <c r="O50" s="67"/>
      <c r="P50" s="67"/>
      <c r="Q50" s="67"/>
      <c r="R50" s="68"/>
      <c r="S50" s="67">
        <v>2500</v>
      </c>
      <c r="T50" s="67"/>
      <c r="U50" s="67"/>
      <c r="V50" s="67">
        <f t="shared" si="19"/>
        <v>2500</v>
      </c>
      <c r="W50" s="67"/>
    </row>
    <row r="51" spans="1:23" ht="17.25" customHeight="1" outlineLevel="3">
      <c r="A51" s="48"/>
      <c r="B51" s="58"/>
      <c r="C51" s="59"/>
      <c r="D51" s="59"/>
      <c r="E51" s="60"/>
      <c r="F51" s="60"/>
      <c r="G51" s="61" t="s">
        <v>34</v>
      </c>
      <c r="H51" s="62"/>
      <c r="I51" s="63"/>
      <c r="J51" s="64"/>
      <c r="K51" s="100"/>
      <c r="L51" s="92"/>
      <c r="M51" s="93"/>
      <c r="N51" s="67"/>
      <c r="O51" s="67"/>
      <c r="P51" s="67"/>
      <c r="Q51" s="67"/>
      <c r="R51" s="68"/>
      <c r="S51" s="67">
        <v>2000</v>
      </c>
      <c r="T51" s="67"/>
      <c r="U51" s="67"/>
      <c r="V51" s="67">
        <f t="shared" si="19"/>
        <v>2000</v>
      </c>
      <c r="W51" s="67"/>
    </row>
    <row r="52" spans="1:23" ht="17.25" customHeight="1" outlineLevel="3">
      <c r="A52" s="48"/>
      <c r="B52" s="58"/>
      <c r="C52" s="59"/>
      <c r="D52" s="59"/>
      <c r="E52" s="60"/>
      <c r="F52" s="60"/>
      <c r="G52" s="61" t="s">
        <v>35</v>
      </c>
      <c r="H52" s="62"/>
      <c r="I52" s="63"/>
      <c r="J52" s="64"/>
      <c r="K52" s="100"/>
      <c r="L52" s="104"/>
      <c r="M52" s="105"/>
      <c r="N52" s="67"/>
      <c r="O52" s="67"/>
      <c r="P52" s="67"/>
      <c r="Q52" s="67"/>
      <c r="R52" s="68"/>
      <c r="S52" s="67">
        <v>4100</v>
      </c>
      <c r="T52" s="67"/>
      <c r="U52" s="67"/>
      <c r="V52" s="67">
        <f t="shared" si="19"/>
        <v>4100</v>
      </c>
      <c r="W52" s="67"/>
    </row>
    <row r="53" spans="1:23" ht="17.25" customHeight="1" outlineLevel="3">
      <c r="A53" s="48"/>
      <c r="B53" s="58"/>
      <c r="C53" s="59"/>
      <c r="D53" s="59"/>
      <c r="E53" s="60"/>
      <c r="F53" s="60"/>
      <c r="G53" s="61" t="s">
        <v>36</v>
      </c>
      <c r="H53" s="62"/>
      <c r="I53" s="63"/>
      <c r="J53" s="64"/>
      <c r="K53" s="100"/>
      <c r="L53" s="69"/>
      <c r="M53" s="67"/>
      <c r="N53" s="67"/>
      <c r="O53" s="67"/>
      <c r="P53" s="67"/>
      <c r="Q53" s="67"/>
      <c r="R53" s="68"/>
      <c r="S53" s="67"/>
      <c r="T53" s="67"/>
      <c r="U53" s="67"/>
      <c r="V53" s="67">
        <f t="shared" si="19"/>
        <v>0</v>
      </c>
      <c r="W53" s="67"/>
    </row>
    <row r="54" spans="1:23" ht="17.25" customHeight="1" outlineLevel="3">
      <c r="A54" s="48"/>
      <c r="B54" s="58"/>
      <c r="C54" s="59"/>
      <c r="D54" s="59"/>
      <c r="E54" s="60"/>
      <c r="F54" s="60"/>
      <c r="G54" s="61" t="s">
        <v>37</v>
      </c>
      <c r="H54" s="62"/>
      <c r="I54" s="63"/>
      <c r="J54" s="64"/>
      <c r="K54" s="65"/>
      <c r="L54" s="69"/>
      <c r="M54" s="67"/>
      <c r="N54" s="67"/>
      <c r="O54" s="67"/>
      <c r="P54" s="67"/>
      <c r="Q54" s="67"/>
      <c r="R54" s="68"/>
      <c r="S54" s="68"/>
      <c r="T54" s="67"/>
      <c r="U54" s="67"/>
      <c r="V54" s="67">
        <f t="shared" si="19"/>
        <v>0</v>
      </c>
      <c r="W54" s="67"/>
    </row>
    <row r="55" spans="1:23" ht="21" customHeight="1" outlineLevel="1">
      <c r="A55" s="19"/>
      <c r="B55" s="39">
        <v>3</v>
      </c>
      <c r="C55" s="40" t="s">
        <v>44</v>
      </c>
      <c r="D55" s="41"/>
      <c r="E55" s="71"/>
      <c r="F55" s="71"/>
      <c r="G55" s="72"/>
      <c r="H55" s="111"/>
      <c r="I55" s="112"/>
      <c r="J55" s="113"/>
      <c r="K55" s="114"/>
      <c r="L55" s="111"/>
      <c r="M55" s="111"/>
      <c r="N55" s="111"/>
      <c r="O55" s="111"/>
      <c r="P55" s="111"/>
      <c r="Q55" s="111"/>
      <c r="R55" s="111"/>
      <c r="S55" s="111"/>
      <c r="T55" s="115">
        <f t="shared" ref="T55:W55" si="20">T56+T63+T70+T77+T84+T91</f>
        <v>25261.726862764146</v>
      </c>
      <c r="U55" s="115">
        <f t="shared" si="20"/>
        <v>0</v>
      </c>
      <c r="V55" s="115">
        <f t="shared" si="20"/>
        <v>174467</v>
      </c>
      <c r="W55" s="115">
        <f t="shared" si="20"/>
        <v>94920</v>
      </c>
    </row>
    <row r="56" spans="1:23" ht="17.25" customHeight="1" outlineLevel="2">
      <c r="A56" s="48"/>
      <c r="B56" s="49" t="s">
        <v>45</v>
      </c>
      <c r="C56" s="339" t="s">
        <v>46</v>
      </c>
      <c r="D56" s="340"/>
      <c r="E56" s="116">
        <v>45901</v>
      </c>
      <c r="F56" s="50">
        <v>45930</v>
      </c>
      <c r="G56" s="117"/>
      <c r="H56" s="118"/>
      <c r="I56" s="118"/>
      <c r="J56" s="119"/>
      <c r="K56" s="120"/>
      <c r="L56" s="121"/>
      <c r="M56" s="118"/>
      <c r="N56" s="118"/>
      <c r="O56" s="118"/>
      <c r="P56" s="118"/>
      <c r="Q56" s="118"/>
      <c r="R56" s="118"/>
      <c r="S56" s="118"/>
      <c r="T56" s="91">
        <f t="shared" ref="T56:W56" si="21">SUM(T57:T62)</f>
        <v>0</v>
      </c>
      <c r="U56" s="122">
        <f t="shared" si="21"/>
        <v>0</v>
      </c>
      <c r="V56" s="91">
        <f t="shared" si="21"/>
        <v>18909</v>
      </c>
      <c r="W56" s="91">
        <f t="shared" si="21"/>
        <v>5000</v>
      </c>
    </row>
    <row r="57" spans="1:23" ht="17.25" customHeight="1" outlineLevel="3">
      <c r="A57" s="48"/>
      <c r="B57" s="58"/>
      <c r="C57" s="123"/>
      <c r="D57" s="123"/>
      <c r="E57" s="124"/>
      <c r="F57" s="60"/>
      <c r="G57" s="61" t="s">
        <v>32</v>
      </c>
      <c r="H57" s="125"/>
      <c r="I57" s="125"/>
      <c r="J57" s="126"/>
      <c r="K57" s="127"/>
      <c r="L57" s="128"/>
      <c r="M57" s="125"/>
      <c r="N57" s="125"/>
      <c r="O57" s="125"/>
      <c r="P57" s="129">
        <v>4768</v>
      </c>
      <c r="Q57" s="129">
        <v>3863</v>
      </c>
      <c r="R57" s="125"/>
      <c r="S57" s="125"/>
      <c r="T57" s="130">
        <f t="shared" ref="T57:T62" si="22">SUM(H57:K57)</f>
        <v>0</v>
      </c>
      <c r="U57" s="131"/>
      <c r="V57" s="130">
        <f t="shared" ref="V57:V59" si="23">SUM(L57:S57)</f>
        <v>8631</v>
      </c>
      <c r="W57" s="130"/>
    </row>
    <row r="58" spans="1:23" ht="17.25" customHeight="1" outlineLevel="3">
      <c r="A58" s="48"/>
      <c r="B58" s="58"/>
      <c r="C58" s="123"/>
      <c r="D58" s="123"/>
      <c r="E58" s="124"/>
      <c r="F58" s="60"/>
      <c r="G58" s="61" t="s">
        <v>33</v>
      </c>
      <c r="H58" s="125"/>
      <c r="I58" s="125"/>
      <c r="J58" s="126"/>
      <c r="K58" s="127"/>
      <c r="L58" s="128"/>
      <c r="M58" s="125"/>
      <c r="N58" s="125"/>
      <c r="O58" s="125"/>
      <c r="P58" s="308">
        <v>5500</v>
      </c>
      <c r="Q58" s="125"/>
      <c r="R58" s="125"/>
      <c r="S58" s="125"/>
      <c r="T58" s="130">
        <f t="shared" si="22"/>
        <v>0</v>
      </c>
      <c r="U58" s="131"/>
      <c r="V58" s="130">
        <f t="shared" si="23"/>
        <v>5500</v>
      </c>
      <c r="W58" s="130"/>
    </row>
    <row r="59" spans="1:23" ht="17.25" customHeight="1" outlineLevel="3">
      <c r="A59" s="48"/>
      <c r="B59" s="58"/>
      <c r="C59" s="123"/>
      <c r="D59" s="123"/>
      <c r="E59" s="124"/>
      <c r="F59" s="60"/>
      <c r="G59" s="61" t="s">
        <v>34</v>
      </c>
      <c r="H59" s="125"/>
      <c r="I59" s="125"/>
      <c r="J59" s="126"/>
      <c r="K59" s="127"/>
      <c r="L59" s="128"/>
      <c r="M59" s="125"/>
      <c r="N59" s="125"/>
      <c r="O59" s="125"/>
      <c r="P59" s="308">
        <v>3500</v>
      </c>
      <c r="Q59" s="125"/>
      <c r="R59" s="125"/>
      <c r="S59" s="125"/>
      <c r="T59" s="130">
        <f t="shared" si="22"/>
        <v>0</v>
      </c>
      <c r="U59" s="131"/>
      <c r="V59" s="130">
        <f t="shared" si="23"/>
        <v>3500</v>
      </c>
      <c r="W59" s="130"/>
    </row>
    <row r="60" spans="1:23" ht="17.25" customHeight="1" outlineLevel="3">
      <c r="A60" s="48"/>
      <c r="B60" s="58"/>
      <c r="C60" s="123"/>
      <c r="D60" s="123"/>
      <c r="E60" s="124"/>
      <c r="F60" s="60"/>
      <c r="G60" s="61" t="s">
        <v>35</v>
      </c>
      <c r="H60" s="125"/>
      <c r="I60" s="125"/>
      <c r="J60" s="126"/>
      <c r="K60" s="127"/>
      <c r="L60" s="128"/>
      <c r="M60" s="125"/>
      <c r="N60" s="125"/>
      <c r="O60" s="125"/>
      <c r="P60" s="308">
        <v>5000</v>
      </c>
      <c r="Q60" s="125"/>
      <c r="R60" s="125"/>
      <c r="S60" s="125"/>
      <c r="T60" s="130">
        <f t="shared" si="22"/>
        <v>0</v>
      </c>
      <c r="U60" s="131"/>
      <c r="V60" s="130"/>
      <c r="W60" s="130">
        <f>SUM(L60:S60)</f>
        <v>5000</v>
      </c>
    </row>
    <row r="61" spans="1:23" ht="17.25" customHeight="1" outlineLevel="3">
      <c r="A61" s="48"/>
      <c r="B61" s="58"/>
      <c r="C61" s="123"/>
      <c r="D61" s="123"/>
      <c r="E61" s="124"/>
      <c r="F61" s="60"/>
      <c r="G61" s="61" t="s">
        <v>36</v>
      </c>
      <c r="H61" s="125"/>
      <c r="I61" s="125"/>
      <c r="J61" s="126"/>
      <c r="K61" s="127"/>
      <c r="L61" s="128"/>
      <c r="M61" s="125"/>
      <c r="N61" s="125"/>
      <c r="O61" s="125"/>
      <c r="P61" s="308">
        <v>1278</v>
      </c>
      <c r="Q61" s="125"/>
      <c r="R61" s="125"/>
      <c r="S61" s="125"/>
      <c r="T61" s="130">
        <f t="shared" si="22"/>
        <v>0</v>
      </c>
      <c r="U61" s="131"/>
      <c r="V61" s="130">
        <f t="shared" ref="V61:V62" si="24">SUM(L61:S61)</f>
        <v>1278</v>
      </c>
      <c r="W61" s="130"/>
    </row>
    <row r="62" spans="1:23" ht="17.25" customHeight="1" outlineLevel="3">
      <c r="A62" s="48"/>
      <c r="B62" s="58"/>
      <c r="C62" s="123"/>
      <c r="D62" s="123"/>
      <c r="E62" s="124"/>
      <c r="F62" s="60"/>
      <c r="G62" s="132" t="s">
        <v>37</v>
      </c>
      <c r="H62" s="125"/>
      <c r="I62" s="125"/>
      <c r="J62" s="126"/>
      <c r="K62" s="127"/>
      <c r="L62" s="128"/>
      <c r="M62" s="125"/>
      <c r="N62" s="125"/>
      <c r="O62" s="125"/>
      <c r="P62" s="125"/>
      <c r="Q62" s="125"/>
      <c r="R62" s="125"/>
      <c r="S62" s="125"/>
      <c r="T62" s="130">
        <f t="shared" si="22"/>
        <v>0</v>
      </c>
      <c r="U62" s="131"/>
      <c r="V62" s="130">
        <f t="shared" si="24"/>
        <v>0</v>
      </c>
      <c r="W62" s="130"/>
    </row>
    <row r="63" spans="1:23" ht="17.25" customHeight="1" outlineLevel="2">
      <c r="A63" s="48"/>
      <c r="B63" s="49" t="s">
        <v>47</v>
      </c>
      <c r="C63" s="339" t="s">
        <v>48</v>
      </c>
      <c r="D63" s="340"/>
      <c r="E63" s="116">
        <v>45975</v>
      </c>
      <c r="F63" s="50">
        <v>11652</v>
      </c>
      <c r="G63" s="133"/>
      <c r="H63" s="118"/>
      <c r="I63" s="118"/>
      <c r="J63" s="119"/>
      <c r="K63" s="120"/>
      <c r="L63" s="121"/>
      <c r="M63" s="118"/>
      <c r="N63" s="118"/>
      <c r="O63" s="118"/>
      <c r="P63" s="118"/>
      <c r="Q63" s="118"/>
      <c r="R63" s="118"/>
      <c r="S63" s="118"/>
      <c r="T63" s="91">
        <f t="shared" ref="T63:W63" si="25">SUM(T64:T69)</f>
        <v>0</v>
      </c>
      <c r="U63" s="91">
        <f t="shared" si="25"/>
        <v>0</v>
      </c>
      <c r="V63" s="91">
        <f t="shared" si="25"/>
        <v>32323</v>
      </c>
      <c r="W63" s="91">
        <f t="shared" si="25"/>
        <v>6278</v>
      </c>
    </row>
    <row r="64" spans="1:23" ht="17.25" customHeight="1" outlineLevel="3">
      <c r="A64" s="48"/>
      <c r="B64" s="58"/>
      <c r="C64" s="59"/>
      <c r="D64" s="59"/>
      <c r="E64" s="60"/>
      <c r="F64" s="60"/>
      <c r="G64" s="134" t="s">
        <v>32</v>
      </c>
      <c r="H64" s="62"/>
      <c r="I64" s="63"/>
      <c r="J64" s="64"/>
      <c r="K64" s="100"/>
      <c r="L64" s="101"/>
      <c r="M64" s="102"/>
      <c r="N64" s="67"/>
      <c r="O64" s="67"/>
      <c r="P64" s="67"/>
      <c r="Q64" s="67"/>
      <c r="R64" s="108">
        <v>23323</v>
      </c>
      <c r="S64" s="68"/>
      <c r="T64" s="67"/>
      <c r="U64" s="67"/>
      <c r="V64" s="67">
        <f t="shared" ref="V64:V66" si="26">SUM(L64:S64)</f>
        <v>23323</v>
      </c>
      <c r="W64" s="67"/>
    </row>
    <row r="65" spans="1:23" ht="17.25" customHeight="1" outlineLevel="3">
      <c r="A65" s="48"/>
      <c r="B65" s="58"/>
      <c r="C65" s="59"/>
      <c r="D65" s="59"/>
      <c r="E65" s="60"/>
      <c r="F65" s="60"/>
      <c r="G65" s="61" t="s">
        <v>33</v>
      </c>
      <c r="H65" s="62"/>
      <c r="I65" s="63"/>
      <c r="J65" s="64"/>
      <c r="K65" s="100"/>
      <c r="L65" s="69"/>
      <c r="M65" s="67"/>
      <c r="N65" s="67"/>
      <c r="O65" s="67"/>
      <c r="P65" s="67"/>
      <c r="Q65" s="67"/>
      <c r="R65" s="308">
        <v>5500</v>
      </c>
      <c r="S65" s="68"/>
      <c r="T65" s="67"/>
      <c r="U65" s="67"/>
      <c r="V65" s="67">
        <f t="shared" si="26"/>
        <v>5500</v>
      </c>
      <c r="W65" s="67"/>
    </row>
    <row r="66" spans="1:23" ht="17.25" customHeight="1" outlineLevel="3">
      <c r="A66" s="48"/>
      <c r="B66" s="58"/>
      <c r="C66" s="59"/>
      <c r="D66" s="59"/>
      <c r="E66" s="60"/>
      <c r="F66" s="60"/>
      <c r="G66" s="61" t="s">
        <v>34</v>
      </c>
      <c r="H66" s="62"/>
      <c r="I66" s="63"/>
      <c r="J66" s="64"/>
      <c r="K66" s="100"/>
      <c r="L66" s="92"/>
      <c r="M66" s="93"/>
      <c r="N66" s="67"/>
      <c r="O66" s="67"/>
      <c r="P66" s="67"/>
      <c r="Q66" s="67"/>
      <c r="R66" s="308">
        <v>3500</v>
      </c>
      <c r="S66" s="68"/>
      <c r="T66" s="67"/>
      <c r="U66" s="67"/>
      <c r="V66" s="67">
        <f t="shared" si="26"/>
        <v>3500</v>
      </c>
      <c r="W66" s="67"/>
    </row>
    <row r="67" spans="1:23" ht="17.25" customHeight="1" outlineLevel="3">
      <c r="A67" s="48"/>
      <c r="B67" s="58"/>
      <c r="C67" s="59"/>
      <c r="D67" s="59"/>
      <c r="E67" s="60"/>
      <c r="F67" s="60"/>
      <c r="G67" s="61" t="s">
        <v>35</v>
      </c>
      <c r="H67" s="62"/>
      <c r="I67" s="63"/>
      <c r="J67" s="64"/>
      <c r="K67" s="100"/>
      <c r="L67" s="104"/>
      <c r="M67" s="105"/>
      <c r="N67" s="67"/>
      <c r="O67" s="67"/>
      <c r="P67" s="67"/>
      <c r="Q67" s="67"/>
      <c r="R67" s="308">
        <v>5000</v>
      </c>
      <c r="S67" s="68"/>
      <c r="T67" s="67"/>
      <c r="U67" s="67"/>
      <c r="V67" s="67"/>
      <c r="W67" s="67">
        <f t="shared" ref="W67:W68" si="27">SUM(L67:S67)</f>
        <v>5000</v>
      </c>
    </row>
    <row r="68" spans="1:23" ht="17.25" customHeight="1" outlineLevel="3">
      <c r="A68" s="48"/>
      <c r="B68" s="58"/>
      <c r="C68" s="59"/>
      <c r="D68" s="59"/>
      <c r="E68" s="60"/>
      <c r="F68" s="60"/>
      <c r="G68" s="61" t="s">
        <v>36</v>
      </c>
      <c r="H68" s="62"/>
      <c r="I68" s="63"/>
      <c r="J68" s="64"/>
      <c r="K68" s="100"/>
      <c r="L68" s="69"/>
      <c r="M68" s="67"/>
      <c r="N68" s="67"/>
      <c r="O68" s="67"/>
      <c r="P68" s="67"/>
      <c r="Q68" s="67"/>
      <c r="R68" s="308">
        <v>1278</v>
      </c>
      <c r="S68" s="68"/>
      <c r="T68" s="67"/>
      <c r="U68" s="67"/>
      <c r="V68" s="67"/>
      <c r="W68" s="67">
        <f t="shared" si="27"/>
        <v>1278</v>
      </c>
    </row>
    <row r="69" spans="1:23" ht="17.25" customHeight="1" outlineLevel="3">
      <c r="A69" s="48"/>
      <c r="B69" s="58"/>
      <c r="C69" s="59"/>
      <c r="D69" s="59"/>
      <c r="E69" s="60"/>
      <c r="F69" s="60"/>
      <c r="G69" s="61" t="s">
        <v>37</v>
      </c>
      <c r="H69" s="62"/>
      <c r="I69" s="63"/>
      <c r="J69" s="64"/>
      <c r="K69" s="65"/>
      <c r="L69" s="69"/>
      <c r="M69" s="67"/>
      <c r="N69" s="67"/>
      <c r="O69" s="67"/>
      <c r="P69" s="67"/>
      <c r="Q69" s="67"/>
      <c r="R69" s="68"/>
      <c r="S69" s="68"/>
      <c r="T69" s="67"/>
      <c r="U69" s="67"/>
      <c r="V69" s="67">
        <f>SUM(L69:S69)</f>
        <v>0</v>
      </c>
      <c r="W69" s="67"/>
    </row>
    <row r="70" spans="1:23" ht="17.25" customHeight="1" outlineLevel="2">
      <c r="A70" s="48"/>
      <c r="B70" s="49" t="s">
        <v>49</v>
      </c>
      <c r="C70" s="359" t="s">
        <v>50</v>
      </c>
      <c r="D70" s="360"/>
      <c r="E70" s="50">
        <v>45805</v>
      </c>
      <c r="F70" s="50">
        <v>46021</v>
      </c>
      <c r="G70" s="135"/>
      <c r="H70" s="136"/>
      <c r="I70" s="137"/>
      <c r="J70" s="138"/>
      <c r="K70" s="139"/>
      <c r="L70" s="140"/>
      <c r="M70" s="141"/>
      <c r="N70" s="141"/>
      <c r="O70" s="141"/>
      <c r="P70" s="141"/>
      <c r="Q70" s="141"/>
      <c r="R70" s="141"/>
      <c r="S70" s="141"/>
      <c r="T70" s="142">
        <f t="shared" ref="T70:V70" si="28">SUM(T71:T76)</f>
        <v>0</v>
      </c>
      <c r="U70" s="142">
        <f t="shared" si="28"/>
        <v>0</v>
      </c>
      <c r="V70" s="142">
        <f t="shared" si="28"/>
        <v>67739</v>
      </c>
      <c r="W70" s="142">
        <f>SUM(W71:W91)</f>
        <v>57252</v>
      </c>
    </row>
    <row r="71" spans="1:23" ht="17.25" customHeight="1" outlineLevel="3">
      <c r="A71" s="48"/>
      <c r="B71" s="58"/>
      <c r="C71" s="59"/>
      <c r="D71" s="59"/>
      <c r="E71" s="60"/>
      <c r="F71" s="60"/>
      <c r="G71" s="61" t="s">
        <v>32</v>
      </c>
      <c r="H71" s="62"/>
      <c r="I71" s="63"/>
      <c r="J71" s="64"/>
      <c r="K71" s="100"/>
      <c r="L71" s="69"/>
      <c r="M71" s="67">
        <v>8994</v>
      </c>
      <c r="N71" s="67">
        <v>7868</v>
      </c>
      <c r="O71" s="67">
        <v>9661</v>
      </c>
      <c r="P71" s="67">
        <v>8756</v>
      </c>
      <c r="Q71" s="67"/>
      <c r="R71" s="68"/>
      <c r="S71" s="68"/>
      <c r="T71" s="67"/>
      <c r="U71" s="67"/>
      <c r="V71" s="67">
        <f t="shared" ref="V71:V74" si="29">SUM(L71:S71)</f>
        <v>35279</v>
      </c>
      <c r="W71" s="67"/>
    </row>
    <row r="72" spans="1:23" ht="17.25" customHeight="1" outlineLevel="3">
      <c r="A72" s="48"/>
      <c r="B72" s="58"/>
      <c r="C72" s="59"/>
      <c r="D72" s="59"/>
      <c r="E72" s="60"/>
      <c r="F72" s="60"/>
      <c r="G72" s="61" t="s">
        <v>33</v>
      </c>
      <c r="H72" s="62"/>
      <c r="I72" s="63"/>
      <c r="J72" s="64"/>
      <c r="K72" s="100"/>
      <c r="L72" s="69">
        <v>400</v>
      </c>
      <c r="M72" s="67">
        <v>3600</v>
      </c>
      <c r="N72" s="67">
        <v>3720</v>
      </c>
      <c r="O72" s="67">
        <v>3600</v>
      </c>
      <c r="P72" s="67">
        <v>3720</v>
      </c>
      <c r="Q72" s="67"/>
      <c r="R72" s="68"/>
      <c r="S72" s="68"/>
      <c r="T72" s="67"/>
      <c r="U72" s="67"/>
      <c r="V72" s="67">
        <f t="shared" si="29"/>
        <v>15040</v>
      </c>
      <c r="W72" s="67"/>
    </row>
    <row r="73" spans="1:23" ht="17.25" customHeight="1" outlineLevel="3">
      <c r="A73" s="48"/>
      <c r="B73" s="58"/>
      <c r="C73" s="59"/>
      <c r="D73" s="59"/>
      <c r="E73" s="60"/>
      <c r="F73" s="60"/>
      <c r="G73" s="61" t="s">
        <v>34</v>
      </c>
      <c r="H73" s="62"/>
      <c r="I73" s="63"/>
      <c r="J73" s="64"/>
      <c r="K73" s="100"/>
      <c r="L73" s="92">
        <v>300</v>
      </c>
      <c r="M73" s="93">
        <v>2040</v>
      </c>
      <c r="N73" s="93">
        <v>2040</v>
      </c>
      <c r="O73" s="93">
        <v>2040</v>
      </c>
      <c r="P73" s="93">
        <v>2040</v>
      </c>
      <c r="Q73" s="67"/>
      <c r="R73" s="68"/>
      <c r="S73" s="68"/>
      <c r="T73" s="67"/>
      <c r="U73" s="67"/>
      <c r="V73" s="67">
        <f t="shared" si="29"/>
        <v>8460</v>
      </c>
      <c r="W73" s="67"/>
    </row>
    <row r="74" spans="1:23" ht="17.25" customHeight="1" outlineLevel="3">
      <c r="A74" s="48"/>
      <c r="B74" s="58"/>
      <c r="C74" s="59"/>
      <c r="D74" s="59"/>
      <c r="E74" s="60"/>
      <c r="F74" s="60"/>
      <c r="G74" s="61" t="s">
        <v>35</v>
      </c>
      <c r="H74" s="62"/>
      <c r="I74" s="63"/>
      <c r="J74" s="64"/>
      <c r="K74" s="100"/>
      <c r="L74" s="92">
        <v>160</v>
      </c>
      <c r="M74" s="93">
        <v>2200</v>
      </c>
      <c r="N74" s="93">
        <v>2200</v>
      </c>
      <c r="O74" s="93">
        <v>2200</v>
      </c>
      <c r="P74" s="93">
        <v>2200</v>
      </c>
      <c r="Q74" s="67"/>
      <c r="R74" s="68"/>
      <c r="S74" s="68"/>
      <c r="T74" s="67"/>
      <c r="U74" s="67"/>
      <c r="V74" s="67">
        <f t="shared" si="29"/>
        <v>8960</v>
      </c>
      <c r="W74" s="67"/>
    </row>
    <row r="75" spans="1:23" ht="17.25" customHeight="1" outlineLevel="3">
      <c r="A75" s="48"/>
      <c r="B75" s="58"/>
      <c r="C75" s="59"/>
      <c r="D75" s="59"/>
      <c r="E75" s="60"/>
      <c r="F75" s="60"/>
      <c r="G75" s="61" t="s">
        <v>36</v>
      </c>
      <c r="H75" s="62"/>
      <c r="I75" s="63"/>
      <c r="J75" s="64"/>
      <c r="K75" s="100"/>
      <c r="L75" s="69">
        <v>150</v>
      </c>
      <c r="M75" s="67">
        <v>1400</v>
      </c>
      <c r="N75" s="67">
        <v>1400</v>
      </c>
      <c r="O75" s="67">
        <v>1400</v>
      </c>
      <c r="P75" s="67">
        <v>1400</v>
      </c>
      <c r="Q75" s="67"/>
      <c r="R75" s="68"/>
      <c r="S75" s="68"/>
      <c r="T75" s="67"/>
      <c r="U75" s="67"/>
      <c r="V75" s="67"/>
      <c r="W75" s="67">
        <f>SUM(L75:S75)</f>
        <v>5750</v>
      </c>
    </row>
    <row r="76" spans="1:23" ht="17.25" customHeight="1" outlineLevel="3">
      <c r="A76" s="48"/>
      <c r="B76" s="58"/>
      <c r="C76" s="59"/>
      <c r="D76" s="59"/>
      <c r="E76" s="60"/>
      <c r="F76" s="60"/>
      <c r="G76" s="61" t="s">
        <v>37</v>
      </c>
      <c r="H76" s="62"/>
      <c r="I76" s="63"/>
      <c r="J76" s="64"/>
      <c r="K76" s="65"/>
      <c r="L76" s="69"/>
      <c r="M76" s="67"/>
      <c r="N76" s="67"/>
      <c r="O76" s="67"/>
      <c r="P76" s="67"/>
      <c r="Q76" s="67"/>
      <c r="R76" s="68"/>
      <c r="S76" s="68"/>
      <c r="T76" s="67"/>
      <c r="U76" s="67"/>
      <c r="V76" s="67"/>
      <c r="W76" s="67"/>
    </row>
    <row r="77" spans="1:23" ht="17.25" customHeight="1" outlineLevel="2">
      <c r="A77" s="48"/>
      <c r="B77" s="49">
        <v>3.02</v>
      </c>
      <c r="C77" s="339" t="s">
        <v>51</v>
      </c>
      <c r="D77" s="340"/>
      <c r="E77" s="50">
        <v>45659</v>
      </c>
      <c r="F77" s="50">
        <v>45716</v>
      </c>
      <c r="G77" s="135"/>
      <c r="H77" s="136"/>
      <c r="I77" s="137"/>
      <c r="J77" s="138"/>
      <c r="K77" s="139"/>
      <c r="L77" s="140"/>
      <c r="M77" s="141"/>
      <c r="N77" s="141"/>
      <c r="O77" s="141"/>
      <c r="P77" s="141"/>
      <c r="Q77" s="141"/>
      <c r="R77" s="141"/>
      <c r="S77" s="141"/>
      <c r="T77" s="143">
        <f t="shared" ref="T77:W77" si="30">SUM(T78:T83)</f>
        <v>20377.000833405764</v>
      </c>
      <c r="U77" s="143">
        <f t="shared" si="30"/>
        <v>0</v>
      </c>
      <c r="V77" s="143">
        <f t="shared" si="30"/>
        <v>0</v>
      </c>
      <c r="W77" s="143">
        <f t="shared" si="30"/>
        <v>0</v>
      </c>
    </row>
    <row r="78" spans="1:23" ht="17.25" customHeight="1" outlineLevel="3">
      <c r="A78" s="48"/>
      <c r="B78" s="58"/>
      <c r="C78" s="123"/>
      <c r="D78" s="123"/>
      <c r="E78" s="60"/>
      <c r="F78" s="60"/>
      <c r="G78" s="61" t="s">
        <v>32</v>
      </c>
      <c r="H78" s="92">
        <v>3289</v>
      </c>
      <c r="I78" s="92">
        <v>3289</v>
      </c>
      <c r="J78" s="144"/>
      <c r="K78" s="145"/>
      <c r="L78" s="92"/>
      <c r="M78" s="92"/>
      <c r="N78" s="92"/>
      <c r="O78" s="92"/>
      <c r="P78" s="92"/>
      <c r="Q78" s="92"/>
      <c r="R78" s="92"/>
      <c r="S78" s="92"/>
      <c r="T78" s="92">
        <f t="shared" ref="T78:T83" si="31">SUM(H78:K78)</f>
        <v>6578</v>
      </c>
      <c r="U78" s="92"/>
      <c r="V78" s="92"/>
      <c r="W78" s="92"/>
    </row>
    <row r="79" spans="1:23" ht="17.25" customHeight="1" outlineLevel="3">
      <c r="A79" s="48"/>
      <c r="B79" s="58"/>
      <c r="C79" s="123"/>
      <c r="D79" s="123"/>
      <c r="E79" s="60"/>
      <c r="F79" s="60"/>
      <c r="G79" s="61" t="s">
        <v>33</v>
      </c>
      <c r="H79" s="92"/>
      <c r="I79" s="92"/>
      <c r="J79" s="144"/>
      <c r="K79" s="145"/>
      <c r="L79" s="92"/>
      <c r="M79" s="92"/>
      <c r="N79" s="92"/>
      <c r="O79" s="92"/>
      <c r="P79" s="92"/>
      <c r="Q79" s="92"/>
      <c r="R79" s="92"/>
      <c r="S79" s="92"/>
      <c r="T79" s="92">
        <f t="shared" si="31"/>
        <v>0</v>
      </c>
      <c r="U79" s="92"/>
      <c r="V79" s="92"/>
      <c r="W79" s="92"/>
    </row>
    <row r="80" spans="1:23" ht="17.25" customHeight="1" outlineLevel="3">
      <c r="A80" s="48"/>
      <c r="B80" s="58"/>
      <c r="C80" s="123"/>
      <c r="D80" s="123"/>
      <c r="E80" s="60"/>
      <c r="F80" s="60"/>
      <c r="G80" s="61" t="s">
        <v>34</v>
      </c>
      <c r="H80" s="92">
        <v>2616</v>
      </c>
      <c r="I80" s="92">
        <v>2444</v>
      </c>
      <c r="J80" s="144"/>
      <c r="K80" s="145"/>
      <c r="L80" s="92"/>
      <c r="M80" s="92"/>
      <c r="N80" s="92"/>
      <c r="O80" s="92"/>
      <c r="P80" s="92"/>
      <c r="Q80" s="92"/>
      <c r="R80" s="92"/>
      <c r="S80" s="92"/>
      <c r="T80" s="92">
        <f t="shared" si="31"/>
        <v>5060</v>
      </c>
      <c r="U80" s="92"/>
      <c r="V80" s="92"/>
      <c r="W80" s="92"/>
    </row>
    <row r="81" spans="1:23" ht="17.25" customHeight="1" outlineLevel="3">
      <c r="A81" s="48"/>
      <c r="B81" s="58"/>
      <c r="C81" s="123"/>
      <c r="D81" s="123"/>
      <c r="E81" s="60"/>
      <c r="F81" s="60"/>
      <c r="G81" s="61" t="s">
        <v>35</v>
      </c>
      <c r="H81" s="69">
        <v>3914.9619343194449</v>
      </c>
      <c r="I81" s="69">
        <v>4824.0388990863212</v>
      </c>
      <c r="J81" s="144"/>
      <c r="K81" s="145"/>
      <c r="L81" s="92"/>
      <c r="M81" s="92"/>
      <c r="N81" s="92"/>
      <c r="O81" s="92"/>
      <c r="P81" s="92"/>
      <c r="Q81" s="92"/>
      <c r="R81" s="92"/>
      <c r="S81" s="92"/>
      <c r="T81" s="92">
        <f t="shared" si="31"/>
        <v>8739.0008334057657</v>
      </c>
      <c r="U81" s="92"/>
      <c r="V81" s="92"/>
      <c r="W81" s="92"/>
    </row>
    <row r="82" spans="1:23" ht="17.25" customHeight="1" outlineLevel="3">
      <c r="A82" s="48"/>
      <c r="B82" s="58"/>
      <c r="C82" s="123"/>
      <c r="D82" s="123"/>
      <c r="E82" s="60"/>
      <c r="F82" s="60"/>
      <c r="G82" s="61" t="s">
        <v>36</v>
      </c>
      <c r="H82" s="92"/>
      <c r="I82" s="92"/>
      <c r="J82" s="144"/>
      <c r="K82" s="145"/>
      <c r="L82" s="92"/>
      <c r="M82" s="92"/>
      <c r="N82" s="92"/>
      <c r="O82" s="92"/>
      <c r="P82" s="92"/>
      <c r="Q82" s="92"/>
      <c r="R82" s="92"/>
      <c r="S82" s="92"/>
      <c r="T82" s="92">
        <f t="shared" si="31"/>
        <v>0</v>
      </c>
      <c r="U82" s="92"/>
      <c r="V82" s="92"/>
      <c r="W82" s="92"/>
    </row>
    <row r="83" spans="1:23" ht="17.25" customHeight="1" outlineLevel="3">
      <c r="A83" s="48"/>
      <c r="B83" s="58"/>
      <c r="C83" s="123"/>
      <c r="D83" s="123"/>
      <c r="E83" s="60"/>
      <c r="F83" s="60"/>
      <c r="G83" s="61" t="s">
        <v>37</v>
      </c>
      <c r="H83" s="92"/>
      <c r="I83" s="92"/>
      <c r="J83" s="144"/>
      <c r="K83" s="145"/>
      <c r="L83" s="92"/>
      <c r="M83" s="92"/>
      <c r="N83" s="92"/>
      <c r="O83" s="92"/>
      <c r="P83" s="92"/>
      <c r="Q83" s="92"/>
      <c r="R83" s="92"/>
      <c r="S83" s="92"/>
      <c r="T83" s="92">
        <f t="shared" si="31"/>
        <v>0</v>
      </c>
      <c r="U83" s="92"/>
      <c r="V83" s="92"/>
      <c r="W83" s="92"/>
    </row>
    <row r="84" spans="1:23" ht="17.25" customHeight="1" outlineLevel="2">
      <c r="A84" s="48"/>
      <c r="B84" s="49">
        <v>3.3</v>
      </c>
      <c r="C84" s="339" t="s">
        <v>52</v>
      </c>
      <c r="D84" s="340"/>
      <c r="E84" s="50">
        <v>45717</v>
      </c>
      <c r="F84" s="50">
        <v>45930</v>
      </c>
      <c r="G84" s="135"/>
      <c r="H84" s="135"/>
      <c r="I84" s="135"/>
      <c r="J84" s="146"/>
      <c r="K84" s="147"/>
      <c r="L84" s="148"/>
      <c r="M84" s="135"/>
      <c r="N84" s="135"/>
      <c r="O84" s="135"/>
      <c r="P84" s="135"/>
      <c r="Q84" s="135"/>
      <c r="R84" s="135"/>
      <c r="S84" s="135"/>
      <c r="T84" s="143">
        <f t="shared" ref="T84:W84" si="32">SUM(T85:T90)</f>
        <v>4884.7260293583804</v>
      </c>
      <c r="U84" s="143">
        <f t="shared" si="32"/>
        <v>0</v>
      </c>
      <c r="V84" s="143">
        <f t="shared" si="32"/>
        <v>36000</v>
      </c>
      <c r="W84" s="143">
        <f t="shared" si="32"/>
        <v>25112</v>
      </c>
    </row>
    <row r="85" spans="1:23" ht="17.25" customHeight="1" outlineLevel="3">
      <c r="A85" s="48"/>
      <c r="B85" s="58"/>
      <c r="C85" s="59"/>
      <c r="D85" s="59"/>
      <c r="E85" s="60"/>
      <c r="F85" s="60"/>
      <c r="G85" s="61" t="s">
        <v>32</v>
      </c>
      <c r="H85" s="92"/>
      <c r="I85" s="92"/>
      <c r="J85" s="144"/>
      <c r="K85" s="145"/>
      <c r="L85" s="92"/>
      <c r="M85" s="92"/>
      <c r="N85" s="92"/>
      <c r="O85" s="92"/>
      <c r="P85" s="92"/>
      <c r="Q85" s="92"/>
      <c r="R85" s="92"/>
      <c r="S85" s="92"/>
      <c r="T85" s="92">
        <f t="shared" ref="T85:T90" si="33">SUM(H85:K85)</f>
        <v>0</v>
      </c>
      <c r="U85" s="92"/>
      <c r="V85" s="92">
        <f t="shared" ref="V85:V87" si="34">SUM(L85:S85)</f>
        <v>0</v>
      </c>
      <c r="W85" s="92"/>
    </row>
    <row r="86" spans="1:23" ht="17.25" customHeight="1" outlineLevel="3">
      <c r="A86" s="48"/>
      <c r="B86" s="58"/>
      <c r="C86" s="59"/>
      <c r="D86" s="59"/>
      <c r="E86" s="60"/>
      <c r="F86" s="60"/>
      <c r="G86" s="61" t="s">
        <v>33</v>
      </c>
      <c r="H86" s="62"/>
      <c r="I86" s="63"/>
      <c r="J86" s="64"/>
      <c r="K86" s="100"/>
      <c r="L86" s="308">
        <v>5500</v>
      </c>
      <c r="M86" s="308">
        <v>5500</v>
      </c>
      <c r="N86" s="308">
        <v>5500</v>
      </c>
      <c r="O86" s="308">
        <v>5500</v>
      </c>
      <c r="P86" s="69"/>
      <c r="Q86" s="69"/>
      <c r="R86" s="68"/>
      <c r="S86" s="68"/>
      <c r="T86" s="92">
        <f t="shared" si="33"/>
        <v>0</v>
      </c>
      <c r="U86" s="67"/>
      <c r="V86" s="92">
        <f t="shared" si="34"/>
        <v>22000</v>
      </c>
      <c r="W86" s="92"/>
    </row>
    <row r="87" spans="1:23" ht="17.25" customHeight="1" outlineLevel="3">
      <c r="A87" s="48"/>
      <c r="B87" s="58"/>
      <c r="C87" s="59"/>
      <c r="D87" s="59"/>
      <c r="E87" s="60"/>
      <c r="F87" s="60"/>
      <c r="G87" s="61" t="s">
        <v>34</v>
      </c>
      <c r="H87" s="62"/>
      <c r="I87" s="63"/>
      <c r="J87" s="64"/>
      <c r="K87" s="100">
        <v>1637</v>
      </c>
      <c r="L87" s="308">
        <v>3500</v>
      </c>
      <c r="M87" s="308">
        <v>3500</v>
      </c>
      <c r="N87" s="308">
        <v>3500</v>
      </c>
      <c r="O87" s="308">
        <v>3500</v>
      </c>
      <c r="P87" s="92"/>
      <c r="Q87" s="92"/>
      <c r="R87" s="68"/>
      <c r="S87" s="68"/>
      <c r="T87" s="92">
        <f t="shared" si="33"/>
        <v>1637</v>
      </c>
      <c r="U87" s="67"/>
      <c r="V87" s="92">
        <f t="shared" si="34"/>
        <v>14000</v>
      </c>
      <c r="W87" s="92"/>
    </row>
    <row r="88" spans="1:23" ht="17.25" customHeight="1" outlineLevel="3">
      <c r="A88" s="48"/>
      <c r="B88" s="58"/>
      <c r="C88" s="59"/>
      <c r="D88" s="59"/>
      <c r="E88" s="60"/>
      <c r="F88" s="60"/>
      <c r="G88" s="61" t="s">
        <v>35</v>
      </c>
      <c r="H88" s="62"/>
      <c r="I88" s="63"/>
      <c r="J88" s="64"/>
      <c r="K88" s="100">
        <v>3247.7260293583799</v>
      </c>
      <c r="L88" s="308">
        <v>5000</v>
      </c>
      <c r="M88" s="308">
        <v>5000</v>
      </c>
      <c r="N88" s="308">
        <v>5000</v>
      </c>
      <c r="O88" s="308">
        <v>5000</v>
      </c>
      <c r="P88" s="92"/>
      <c r="Q88" s="92"/>
      <c r="R88" s="68"/>
      <c r="S88" s="68"/>
      <c r="T88" s="92">
        <f t="shared" si="33"/>
        <v>3247.7260293583799</v>
      </c>
      <c r="U88" s="67"/>
      <c r="V88" s="92"/>
      <c r="W88" s="92">
        <f t="shared" ref="W88:W89" si="35">SUM(L88:S88)</f>
        <v>20000</v>
      </c>
    </row>
    <row r="89" spans="1:23" ht="17.25" customHeight="1" outlineLevel="3">
      <c r="A89" s="48"/>
      <c r="B89" s="58"/>
      <c r="C89" s="59"/>
      <c r="D89" s="59"/>
      <c r="E89" s="60"/>
      <c r="F89" s="60"/>
      <c r="G89" s="61" t="s">
        <v>36</v>
      </c>
      <c r="H89" s="62"/>
      <c r="I89" s="63"/>
      <c r="J89" s="64"/>
      <c r="K89" s="100"/>
      <c r="L89" s="308">
        <v>1278</v>
      </c>
      <c r="M89" s="308">
        <v>1278</v>
      </c>
      <c r="N89" s="308">
        <v>1278</v>
      </c>
      <c r="O89" s="308">
        <v>1278</v>
      </c>
      <c r="P89" s="69"/>
      <c r="Q89" s="69"/>
      <c r="R89" s="68"/>
      <c r="S89" s="68"/>
      <c r="T89" s="92">
        <f t="shared" si="33"/>
        <v>0</v>
      </c>
      <c r="U89" s="67"/>
      <c r="V89" s="92"/>
      <c r="W89" s="92">
        <f t="shared" si="35"/>
        <v>5112</v>
      </c>
    </row>
    <row r="90" spans="1:23" ht="17.25" customHeight="1" outlineLevel="3">
      <c r="A90" s="48"/>
      <c r="B90" s="58"/>
      <c r="C90" s="59"/>
      <c r="D90" s="59"/>
      <c r="E90" s="60"/>
      <c r="F90" s="60"/>
      <c r="G90" s="61" t="s">
        <v>37</v>
      </c>
      <c r="H90" s="62"/>
      <c r="I90" s="63"/>
      <c r="J90" s="64"/>
      <c r="K90" s="65"/>
      <c r="L90" s="69"/>
      <c r="M90" s="67"/>
      <c r="N90" s="67"/>
      <c r="O90" s="67"/>
      <c r="P90" s="67"/>
      <c r="Q90" s="67"/>
      <c r="R90" s="68"/>
      <c r="S90" s="68"/>
      <c r="T90" s="92">
        <f t="shared" si="33"/>
        <v>0</v>
      </c>
      <c r="U90" s="67"/>
      <c r="V90" s="92">
        <f>SUM(L90:S90)</f>
        <v>0</v>
      </c>
      <c r="W90" s="92"/>
    </row>
    <row r="91" spans="1:23" ht="17.25" customHeight="1" outlineLevel="2">
      <c r="A91" s="48"/>
      <c r="B91" s="49">
        <v>3.4</v>
      </c>
      <c r="C91" s="339" t="s">
        <v>53</v>
      </c>
      <c r="D91" s="340"/>
      <c r="E91" s="50">
        <v>45992</v>
      </c>
      <c r="F91" s="50">
        <v>46022</v>
      </c>
      <c r="G91" s="135"/>
      <c r="H91" s="136"/>
      <c r="I91" s="137"/>
      <c r="J91" s="138"/>
      <c r="K91" s="139"/>
      <c r="L91" s="140"/>
      <c r="M91" s="141"/>
      <c r="N91" s="141"/>
      <c r="O91" s="141"/>
      <c r="P91" s="141"/>
      <c r="Q91" s="141"/>
      <c r="R91" s="141"/>
      <c r="S91" s="141"/>
      <c r="T91" s="143">
        <f t="shared" ref="T91:W91" si="36">SUM(T92:T97)</f>
        <v>0</v>
      </c>
      <c r="U91" s="143">
        <f t="shared" si="36"/>
        <v>0</v>
      </c>
      <c r="V91" s="143">
        <f t="shared" si="36"/>
        <v>19496</v>
      </c>
      <c r="W91" s="143">
        <f t="shared" si="36"/>
        <v>1278</v>
      </c>
    </row>
    <row r="92" spans="1:23" ht="17.25" customHeight="1" outlineLevel="3">
      <c r="A92" s="48"/>
      <c r="B92" s="58"/>
      <c r="C92" s="59"/>
      <c r="D92" s="59"/>
      <c r="E92" s="60"/>
      <c r="F92" s="60"/>
      <c r="G92" s="61" t="s">
        <v>32</v>
      </c>
      <c r="H92" s="69"/>
      <c r="I92" s="69"/>
      <c r="J92" s="149"/>
      <c r="K92" s="88"/>
      <c r="L92" s="69"/>
      <c r="M92" s="69"/>
      <c r="N92" s="69"/>
      <c r="O92" s="69"/>
      <c r="P92" s="69"/>
      <c r="Q92" s="69"/>
      <c r="R92" s="69"/>
      <c r="S92" s="110">
        <v>5496</v>
      </c>
      <c r="T92" s="92">
        <f>SUM(H92:K92)</f>
        <v>0</v>
      </c>
      <c r="U92" s="92"/>
      <c r="V92" s="92">
        <f t="shared" ref="V92:V95" si="37">SUM(L92:S92)</f>
        <v>5496</v>
      </c>
      <c r="W92" s="92"/>
    </row>
    <row r="93" spans="1:23" ht="17.25" customHeight="1" outlineLevel="3">
      <c r="A93" s="48"/>
      <c r="B93" s="58"/>
      <c r="C93" s="59"/>
      <c r="D93" s="59"/>
      <c r="E93" s="60"/>
      <c r="F93" s="60"/>
      <c r="G93" s="61" t="s">
        <v>33</v>
      </c>
      <c r="H93" s="69"/>
      <c r="I93" s="69"/>
      <c r="J93" s="149"/>
      <c r="K93" s="88"/>
      <c r="L93" s="69"/>
      <c r="M93" s="69"/>
      <c r="N93" s="69"/>
      <c r="O93" s="69"/>
      <c r="P93" s="69"/>
      <c r="Q93" s="69"/>
      <c r="R93" s="69"/>
      <c r="S93" s="308">
        <v>5500</v>
      </c>
      <c r="T93" s="92"/>
      <c r="U93" s="67"/>
      <c r="V93" s="92">
        <f t="shared" si="37"/>
        <v>5500</v>
      </c>
      <c r="W93" s="92"/>
    </row>
    <row r="94" spans="1:23" ht="17.25" customHeight="1" outlineLevel="3">
      <c r="A94" s="48"/>
      <c r="B94" s="58"/>
      <c r="C94" s="59"/>
      <c r="D94" s="59"/>
      <c r="E94" s="60"/>
      <c r="F94" s="60"/>
      <c r="G94" s="61" t="s">
        <v>34</v>
      </c>
      <c r="H94" s="69"/>
      <c r="I94" s="69"/>
      <c r="J94" s="149"/>
      <c r="K94" s="88"/>
      <c r="L94" s="69"/>
      <c r="M94" s="69"/>
      <c r="N94" s="69"/>
      <c r="O94" s="69"/>
      <c r="P94" s="69"/>
      <c r="Q94" s="69"/>
      <c r="R94" s="69"/>
      <c r="S94" s="308">
        <v>3500</v>
      </c>
      <c r="T94" s="92"/>
      <c r="U94" s="67"/>
      <c r="V94" s="92">
        <f t="shared" si="37"/>
        <v>3500</v>
      </c>
      <c r="W94" s="92"/>
    </row>
    <row r="95" spans="1:23" ht="17.25" customHeight="1" outlineLevel="3">
      <c r="A95" s="48"/>
      <c r="B95" s="58"/>
      <c r="C95" s="59"/>
      <c r="D95" s="59"/>
      <c r="E95" s="60"/>
      <c r="F95" s="60"/>
      <c r="G95" s="61" t="s">
        <v>35</v>
      </c>
      <c r="H95" s="69"/>
      <c r="I95" s="69"/>
      <c r="J95" s="149"/>
      <c r="K95" s="88"/>
      <c r="L95" s="69"/>
      <c r="M95" s="69"/>
      <c r="N95" s="69"/>
      <c r="O95" s="69"/>
      <c r="P95" s="69"/>
      <c r="Q95" s="69"/>
      <c r="R95" s="69"/>
      <c r="S95" s="308">
        <v>5000</v>
      </c>
      <c r="T95" s="92"/>
      <c r="U95" s="67"/>
      <c r="V95" s="92">
        <f t="shared" si="37"/>
        <v>5000</v>
      </c>
      <c r="W95" s="92"/>
    </row>
    <row r="96" spans="1:23" ht="17.25" customHeight="1" outlineLevel="3">
      <c r="A96" s="48"/>
      <c r="B96" s="58"/>
      <c r="C96" s="59"/>
      <c r="D96" s="59"/>
      <c r="E96" s="60"/>
      <c r="F96" s="60"/>
      <c r="G96" s="61" t="s">
        <v>36</v>
      </c>
      <c r="H96" s="69"/>
      <c r="I96" s="69"/>
      <c r="J96" s="149"/>
      <c r="K96" s="88"/>
      <c r="L96" s="69"/>
      <c r="M96" s="69"/>
      <c r="N96" s="69"/>
      <c r="O96" s="69"/>
      <c r="P96" s="69"/>
      <c r="Q96" s="69"/>
      <c r="R96" s="69"/>
      <c r="S96" s="308">
        <v>1278</v>
      </c>
      <c r="T96" s="92"/>
      <c r="U96" s="67"/>
      <c r="V96" s="92"/>
      <c r="W96" s="92">
        <f>SUM(L96:S96)</f>
        <v>1278</v>
      </c>
    </row>
    <row r="97" spans="1:23" ht="17.25" customHeight="1" outlineLevel="3">
      <c r="A97" s="48"/>
      <c r="B97" s="58"/>
      <c r="C97" s="59"/>
      <c r="D97" s="59"/>
      <c r="E97" s="60"/>
      <c r="F97" s="60"/>
      <c r="G97" s="61" t="s">
        <v>37</v>
      </c>
      <c r="H97" s="69"/>
      <c r="I97" s="69"/>
      <c r="J97" s="149"/>
      <c r="K97" s="88"/>
      <c r="L97" s="69"/>
      <c r="M97" s="69"/>
      <c r="N97" s="69"/>
      <c r="O97" s="69"/>
      <c r="P97" s="69"/>
      <c r="Q97" s="69"/>
      <c r="R97" s="69"/>
      <c r="S97" s="69"/>
      <c r="T97" s="92"/>
      <c r="U97" s="67"/>
      <c r="V97" s="92">
        <f>SUM(L97:S97)</f>
        <v>0</v>
      </c>
      <c r="W97" s="92"/>
    </row>
    <row r="98" spans="1:23" ht="21" customHeight="1" outlineLevel="1">
      <c r="A98" s="19"/>
      <c r="B98" s="39">
        <v>4</v>
      </c>
      <c r="C98" s="40" t="s">
        <v>54</v>
      </c>
      <c r="D98" s="41"/>
      <c r="E98" s="71"/>
      <c r="F98" s="71"/>
      <c r="G98" s="72"/>
      <c r="H98" s="111"/>
      <c r="I98" s="112"/>
      <c r="J98" s="113"/>
      <c r="K98" s="114"/>
      <c r="L98" s="111"/>
      <c r="M98" s="111"/>
      <c r="N98" s="111"/>
      <c r="O98" s="111"/>
      <c r="P98" s="111"/>
      <c r="Q98" s="111"/>
      <c r="R98" s="111"/>
      <c r="S98" s="111"/>
      <c r="T98" s="115">
        <f t="shared" ref="T98:W98" si="38">T99+T106+T113</f>
        <v>32937.208694007146</v>
      </c>
      <c r="U98" s="115">
        <f t="shared" si="38"/>
        <v>0</v>
      </c>
      <c r="V98" s="115">
        <f t="shared" si="38"/>
        <v>82002</v>
      </c>
      <c r="W98" s="115">
        <f t="shared" si="38"/>
        <v>0</v>
      </c>
    </row>
    <row r="99" spans="1:23" ht="17.25" customHeight="1" outlineLevel="2">
      <c r="A99" s="48"/>
      <c r="B99" s="49">
        <v>4.0999999999999996</v>
      </c>
      <c r="C99" s="339" t="s">
        <v>55</v>
      </c>
      <c r="D99" s="340"/>
      <c r="E99" s="50">
        <v>45717</v>
      </c>
      <c r="F99" s="50">
        <v>45807</v>
      </c>
      <c r="G99" s="51"/>
      <c r="H99" s="150"/>
      <c r="I99" s="151"/>
      <c r="J99" s="152"/>
      <c r="K99" s="153"/>
      <c r="L99" s="154"/>
      <c r="M99" s="151"/>
      <c r="N99" s="151"/>
      <c r="O99" s="151"/>
      <c r="P99" s="151"/>
      <c r="Q99" s="151"/>
      <c r="R99" s="151"/>
      <c r="S99" s="151"/>
      <c r="T99" s="155">
        <f t="shared" ref="T99:W99" si="39">SUM(T100:T105)</f>
        <v>26509.208694007146</v>
      </c>
      <c r="U99" s="155">
        <f t="shared" si="39"/>
        <v>0</v>
      </c>
      <c r="V99" s="155">
        <f t="shared" si="39"/>
        <v>8400</v>
      </c>
      <c r="W99" s="155">
        <f t="shared" si="39"/>
        <v>0</v>
      </c>
    </row>
    <row r="100" spans="1:23" ht="17.25" customHeight="1" outlineLevel="3">
      <c r="A100" s="48"/>
      <c r="B100" s="58"/>
      <c r="C100" s="59"/>
      <c r="D100" s="59"/>
      <c r="E100" s="60"/>
      <c r="F100" s="60"/>
      <c r="G100" s="61" t="s">
        <v>32</v>
      </c>
      <c r="H100" s="69"/>
      <c r="I100" s="69"/>
      <c r="J100" s="149">
        <v>2322</v>
      </c>
      <c r="K100" s="88">
        <v>7814</v>
      </c>
      <c r="L100" s="69"/>
      <c r="M100" s="69"/>
      <c r="N100" s="69"/>
      <c r="O100" s="69"/>
      <c r="P100" s="69"/>
      <c r="Q100" s="69"/>
      <c r="R100" s="69"/>
      <c r="S100" s="69"/>
      <c r="T100" s="130">
        <f t="shared" ref="T100:T105" si="40">SUM(H100:K100)</f>
        <v>10136</v>
      </c>
      <c r="U100" s="130"/>
      <c r="V100" s="130">
        <f t="shared" ref="V100:V105" si="41">SUM(L100:S100)</f>
        <v>0</v>
      </c>
      <c r="W100" s="130"/>
    </row>
    <row r="101" spans="1:23" ht="17.25" customHeight="1" outlineLevel="3">
      <c r="A101" s="48"/>
      <c r="B101" s="58"/>
      <c r="C101" s="59"/>
      <c r="D101" s="59"/>
      <c r="E101" s="60"/>
      <c r="F101" s="60"/>
      <c r="G101" s="61" t="s">
        <v>33</v>
      </c>
      <c r="H101" s="69"/>
      <c r="I101" s="69"/>
      <c r="J101" s="149"/>
      <c r="K101" s="88">
        <v>2012</v>
      </c>
      <c r="L101" s="69">
        <v>1500</v>
      </c>
      <c r="M101" s="69"/>
      <c r="N101" s="69"/>
      <c r="O101" s="69"/>
      <c r="P101" s="69"/>
      <c r="Q101" s="69"/>
      <c r="R101" s="69"/>
      <c r="S101" s="69"/>
      <c r="T101" s="130">
        <f t="shared" si="40"/>
        <v>2012</v>
      </c>
      <c r="U101" s="130"/>
      <c r="V101" s="130">
        <f t="shared" si="41"/>
        <v>1500</v>
      </c>
      <c r="W101" s="130"/>
    </row>
    <row r="102" spans="1:23" ht="17.25" customHeight="1" outlineLevel="3">
      <c r="A102" s="48"/>
      <c r="B102" s="58"/>
      <c r="C102" s="59"/>
      <c r="D102" s="59"/>
      <c r="E102" s="60"/>
      <c r="F102" s="60"/>
      <c r="G102" s="61" t="s">
        <v>34</v>
      </c>
      <c r="H102" s="69"/>
      <c r="I102" s="69"/>
      <c r="J102" s="149">
        <v>2168</v>
      </c>
      <c r="K102" s="88">
        <v>2992</v>
      </c>
      <c r="L102" s="69">
        <v>2900</v>
      </c>
      <c r="M102" s="69"/>
      <c r="N102" s="69"/>
      <c r="O102" s="69"/>
      <c r="P102" s="69"/>
      <c r="Q102" s="69"/>
      <c r="R102" s="69"/>
      <c r="S102" s="69"/>
      <c r="T102" s="130">
        <f t="shared" si="40"/>
        <v>5160</v>
      </c>
      <c r="U102" s="130"/>
      <c r="V102" s="130">
        <f t="shared" si="41"/>
        <v>2900</v>
      </c>
      <c r="W102" s="130"/>
    </row>
    <row r="103" spans="1:23" ht="17.25" customHeight="1" outlineLevel="3">
      <c r="A103" s="48"/>
      <c r="B103" s="58"/>
      <c r="C103" s="59"/>
      <c r="D103" s="59"/>
      <c r="E103" s="60"/>
      <c r="F103" s="60"/>
      <c r="G103" s="61" t="s">
        <v>35</v>
      </c>
      <c r="H103" s="69"/>
      <c r="I103" s="69"/>
      <c r="J103" s="149">
        <v>4794.3839699769405</v>
      </c>
      <c r="K103" s="88">
        <v>4406.8247240302071</v>
      </c>
      <c r="L103" s="69">
        <v>4000</v>
      </c>
      <c r="M103" s="69"/>
      <c r="N103" s="69"/>
      <c r="O103" s="69"/>
      <c r="P103" s="69"/>
      <c r="Q103" s="69"/>
      <c r="R103" s="69"/>
      <c r="S103" s="69"/>
      <c r="T103" s="130">
        <f t="shared" si="40"/>
        <v>9201.2086940071476</v>
      </c>
      <c r="U103" s="130"/>
      <c r="V103" s="130">
        <f t="shared" si="41"/>
        <v>4000</v>
      </c>
      <c r="W103" s="130"/>
    </row>
    <row r="104" spans="1:23" ht="17.25" customHeight="1" outlineLevel="3">
      <c r="A104" s="48"/>
      <c r="B104" s="58"/>
      <c r="C104" s="59"/>
      <c r="D104" s="59"/>
      <c r="E104" s="60"/>
      <c r="F104" s="60"/>
      <c r="G104" s="61" t="s">
        <v>36</v>
      </c>
      <c r="H104" s="69"/>
      <c r="I104" s="69"/>
      <c r="J104" s="149"/>
      <c r="K104" s="88"/>
      <c r="L104" s="69"/>
      <c r="M104" s="69"/>
      <c r="N104" s="69"/>
      <c r="O104" s="69"/>
      <c r="P104" s="69"/>
      <c r="Q104" s="69"/>
      <c r="R104" s="69"/>
      <c r="S104" s="69"/>
      <c r="T104" s="130">
        <f t="shared" si="40"/>
        <v>0</v>
      </c>
      <c r="U104" s="130"/>
      <c r="V104" s="130">
        <f t="shared" si="41"/>
        <v>0</v>
      </c>
      <c r="W104" s="130"/>
    </row>
    <row r="105" spans="1:23" ht="17.25" customHeight="1" outlineLevel="3">
      <c r="A105" s="48"/>
      <c r="B105" s="58"/>
      <c r="C105" s="59"/>
      <c r="D105" s="59"/>
      <c r="E105" s="60"/>
      <c r="F105" s="60"/>
      <c r="G105" s="61" t="s">
        <v>37</v>
      </c>
      <c r="H105" s="69"/>
      <c r="I105" s="69"/>
      <c r="J105" s="149"/>
      <c r="K105" s="88"/>
      <c r="L105" s="69"/>
      <c r="M105" s="69"/>
      <c r="N105" s="69"/>
      <c r="O105" s="69"/>
      <c r="P105" s="69"/>
      <c r="Q105" s="69"/>
      <c r="R105" s="69"/>
      <c r="S105" s="69"/>
      <c r="T105" s="130">
        <f t="shared" si="40"/>
        <v>0</v>
      </c>
      <c r="U105" s="130"/>
      <c r="V105" s="130">
        <f t="shared" si="41"/>
        <v>0</v>
      </c>
      <c r="W105" s="130"/>
    </row>
    <row r="106" spans="1:23" ht="17.25" customHeight="1" outlineLevel="2">
      <c r="A106" s="48"/>
      <c r="B106" s="49">
        <v>4.2</v>
      </c>
      <c r="C106" s="339" t="s">
        <v>56</v>
      </c>
      <c r="D106" s="340"/>
      <c r="E106" s="50" t="s">
        <v>57</v>
      </c>
      <c r="F106" s="50">
        <v>45991</v>
      </c>
      <c r="G106" s="51"/>
      <c r="H106" s="150"/>
      <c r="I106" s="151"/>
      <c r="J106" s="152"/>
      <c r="K106" s="153"/>
      <c r="L106" s="154"/>
      <c r="M106" s="151"/>
      <c r="N106" s="151"/>
      <c r="O106" s="151"/>
      <c r="P106" s="151"/>
      <c r="Q106" s="151"/>
      <c r="R106" s="118"/>
      <c r="S106" s="118"/>
      <c r="T106" s="142">
        <f t="shared" ref="T106:W106" si="42">SUM(T107:T112)</f>
        <v>0</v>
      </c>
      <c r="U106" s="142">
        <f t="shared" si="42"/>
        <v>0</v>
      </c>
      <c r="V106" s="142">
        <f t="shared" si="42"/>
        <v>41700</v>
      </c>
      <c r="W106" s="142">
        <f t="shared" si="42"/>
        <v>0</v>
      </c>
    </row>
    <row r="107" spans="1:23" ht="17.25" customHeight="1" outlineLevel="3">
      <c r="A107" s="48"/>
      <c r="B107" s="58"/>
      <c r="C107" s="59"/>
      <c r="D107" s="59"/>
      <c r="E107" s="60"/>
      <c r="F107" s="60"/>
      <c r="G107" s="61" t="s">
        <v>32</v>
      </c>
      <c r="H107" s="69"/>
      <c r="I107" s="69"/>
      <c r="J107" s="149"/>
      <c r="K107" s="88"/>
      <c r="L107" s="69"/>
      <c r="M107" s="69"/>
      <c r="N107" s="69"/>
      <c r="O107" s="69"/>
      <c r="P107" s="69"/>
      <c r="Q107" s="69"/>
      <c r="R107" s="69"/>
      <c r="S107" s="69"/>
      <c r="T107" s="130">
        <f t="shared" ref="T107:T112" si="43">SUM(H107:K107)</f>
        <v>0</v>
      </c>
      <c r="U107" s="69"/>
      <c r="V107" s="130">
        <f t="shared" ref="V107:V112" si="44">SUM(L107:S107)</f>
        <v>0</v>
      </c>
      <c r="W107" s="69"/>
    </row>
    <row r="108" spans="1:23" ht="17.25" customHeight="1" outlineLevel="3">
      <c r="A108" s="48"/>
      <c r="B108" s="58"/>
      <c r="C108" s="59"/>
      <c r="D108" s="59"/>
      <c r="E108" s="60"/>
      <c r="F108" s="60"/>
      <c r="G108" s="61" t="s">
        <v>33</v>
      </c>
      <c r="H108" s="69"/>
      <c r="I108" s="69"/>
      <c r="J108" s="149"/>
      <c r="K108" s="88"/>
      <c r="L108" s="69"/>
      <c r="M108" s="69"/>
      <c r="N108" s="69"/>
      <c r="O108" s="69"/>
      <c r="P108" s="309">
        <v>5000</v>
      </c>
      <c r="Q108" s="309">
        <v>5000</v>
      </c>
      <c r="R108" s="309">
        <v>5000</v>
      </c>
      <c r="S108" s="69"/>
      <c r="T108" s="130">
        <f t="shared" si="43"/>
        <v>0</v>
      </c>
      <c r="U108" s="69"/>
      <c r="V108" s="130">
        <f t="shared" si="44"/>
        <v>15000</v>
      </c>
      <c r="W108" s="69"/>
    </row>
    <row r="109" spans="1:23" ht="17.25" customHeight="1" outlineLevel="3">
      <c r="A109" s="48"/>
      <c r="B109" s="58"/>
      <c r="C109" s="59"/>
      <c r="D109" s="59"/>
      <c r="E109" s="60"/>
      <c r="F109" s="60"/>
      <c r="G109" s="61" t="s">
        <v>34</v>
      </c>
      <c r="H109" s="69"/>
      <c r="I109" s="69"/>
      <c r="J109" s="149"/>
      <c r="K109" s="88"/>
      <c r="L109" s="69"/>
      <c r="M109" s="69"/>
      <c r="N109" s="69"/>
      <c r="O109" s="69"/>
      <c r="P109" s="308">
        <v>5000</v>
      </c>
      <c r="Q109" s="308">
        <v>5000</v>
      </c>
      <c r="R109" s="308">
        <v>5000</v>
      </c>
      <c r="S109" s="69"/>
      <c r="T109" s="130">
        <f t="shared" si="43"/>
        <v>0</v>
      </c>
      <c r="U109" s="69"/>
      <c r="V109" s="130">
        <f t="shared" si="44"/>
        <v>15000</v>
      </c>
      <c r="W109" s="69"/>
    </row>
    <row r="110" spans="1:23" ht="17.25" customHeight="1" outlineLevel="3">
      <c r="A110" s="48"/>
      <c r="B110" s="58"/>
      <c r="C110" s="59"/>
      <c r="D110" s="59"/>
      <c r="E110" s="60"/>
      <c r="F110" s="60"/>
      <c r="G110" s="61" t="s">
        <v>35</v>
      </c>
      <c r="H110" s="69"/>
      <c r="I110" s="69"/>
      <c r="J110" s="149"/>
      <c r="K110" s="88"/>
      <c r="L110" s="69"/>
      <c r="M110" s="69"/>
      <c r="N110" s="69"/>
      <c r="O110" s="69"/>
      <c r="P110" s="308">
        <v>3900</v>
      </c>
      <c r="Q110" s="308">
        <v>3900</v>
      </c>
      <c r="R110" s="308">
        <v>3900</v>
      </c>
      <c r="S110" s="69"/>
      <c r="T110" s="130">
        <f t="shared" si="43"/>
        <v>0</v>
      </c>
      <c r="U110" s="69"/>
      <c r="V110" s="130">
        <f t="shared" si="44"/>
        <v>11700</v>
      </c>
      <c r="W110" s="69"/>
    </row>
    <row r="111" spans="1:23" ht="17.25" customHeight="1" outlineLevel="3">
      <c r="A111" s="48"/>
      <c r="B111" s="58"/>
      <c r="C111" s="59"/>
      <c r="D111" s="59"/>
      <c r="E111" s="60"/>
      <c r="F111" s="60"/>
      <c r="G111" s="61" t="s">
        <v>36</v>
      </c>
      <c r="H111" s="69"/>
      <c r="I111" s="69"/>
      <c r="J111" s="149"/>
      <c r="K111" s="88"/>
      <c r="L111" s="69"/>
      <c r="M111" s="69"/>
      <c r="N111" s="69"/>
      <c r="O111" s="69"/>
      <c r="P111" s="69"/>
      <c r="Q111" s="69"/>
      <c r="R111" s="69"/>
      <c r="S111" s="69"/>
      <c r="T111" s="130">
        <f t="shared" si="43"/>
        <v>0</v>
      </c>
      <c r="U111" s="69"/>
      <c r="V111" s="130">
        <f t="shared" si="44"/>
        <v>0</v>
      </c>
      <c r="W111" s="69"/>
    </row>
    <row r="112" spans="1:23" ht="17.25" customHeight="1" outlineLevel="3">
      <c r="A112" s="48"/>
      <c r="B112" s="58"/>
      <c r="C112" s="59"/>
      <c r="D112" s="59"/>
      <c r="E112" s="60"/>
      <c r="F112" s="60"/>
      <c r="G112" s="61" t="s">
        <v>37</v>
      </c>
      <c r="H112" s="69"/>
      <c r="I112" s="69"/>
      <c r="J112" s="149"/>
      <c r="K112" s="88"/>
      <c r="L112" s="69"/>
      <c r="M112" s="69"/>
      <c r="N112" s="69"/>
      <c r="O112" s="69"/>
      <c r="P112" s="69"/>
      <c r="Q112" s="69"/>
      <c r="R112" s="69"/>
      <c r="S112" s="69"/>
      <c r="T112" s="130">
        <f t="shared" si="43"/>
        <v>0</v>
      </c>
      <c r="U112" s="69"/>
      <c r="V112" s="130">
        <f t="shared" si="44"/>
        <v>0</v>
      </c>
      <c r="W112" s="69"/>
    </row>
    <row r="113" spans="1:23" ht="17.25" customHeight="1" outlineLevel="2">
      <c r="A113" s="48"/>
      <c r="B113" s="49">
        <v>4.3</v>
      </c>
      <c r="C113" s="332" t="s">
        <v>58</v>
      </c>
      <c r="D113" s="330"/>
      <c r="E113" s="50">
        <v>45809</v>
      </c>
      <c r="F113" s="50">
        <v>45930</v>
      </c>
      <c r="G113" s="135"/>
      <c r="H113" s="136"/>
      <c r="I113" s="137"/>
      <c r="J113" s="156"/>
      <c r="K113" s="157"/>
      <c r="L113" s="158"/>
      <c r="M113" s="137"/>
      <c r="N113" s="137"/>
      <c r="O113" s="137"/>
      <c r="P113" s="137"/>
      <c r="Q113" s="137"/>
      <c r="R113" s="141"/>
      <c r="S113" s="141"/>
      <c r="T113" s="142">
        <f t="shared" ref="T113:W113" si="45">SUM(T114:T119)</f>
        <v>6428</v>
      </c>
      <c r="U113" s="142">
        <f t="shared" si="45"/>
        <v>0</v>
      </c>
      <c r="V113" s="142">
        <f t="shared" si="45"/>
        <v>31902</v>
      </c>
      <c r="W113" s="142">
        <f t="shared" si="45"/>
        <v>0</v>
      </c>
    </row>
    <row r="114" spans="1:23" ht="17.25" customHeight="1" outlineLevel="3">
      <c r="A114" s="48"/>
      <c r="B114" s="58"/>
      <c r="C114" s="59"/>
      <c r="D114" s="59"/>
      <c r="E114" s="60"/>
      <c r="F114" s="60"/>
      <c r="G114" s="61" t="s">
        <v>32</v>
      </c>
      <c r="H114" s="69"/>
      <c r="I114" s="69"/>
      <c r="J114" s="149"/>
      <c r="K114" s="88"/>
      <c r="L114" s="69"/>
      <c r="M114" s="110">
        <v>2269</v>
      </c>
      <c r="N114" s="110">
        <v>2147</v>
      </c>
      <c r="O114" s="110">
        <v>2147</v>
      </c>
      <c r="P114" s="110">
        <v>1023</v>
      </c>
      <c r="Q114" s="110">
        <v>5164</v>
      </c>
      <c r="R114" s="110">
        <v>5152</v>
      </c>
      <c r="S114" s="69"/>
      <c r="T114" s="130">
        <f t="shared" ref="T114:T119" si="46">SUM(H114:K114)</f>
        <v>0</v>
      </c>
      <c r="U114" s="69"/>
      <c r="V114" s="69">
        <f t="shared" ref="V114:V119" si="47">SUM(L114:S114)</f>
        <v>17902</v>
      </c>
      <c r="W114" s="69"/>
    </row>
    <row r="115" spans="1:23" ht="17.25" customHeight="1" outlineLevel="3">
      <c r="A115" s="48"/>
      <c r="B115" s="58"/>
      <c r="C115" s="59"/>
      <c r="D115" s="59"/>
      <c r="E115" s="60"/>
      <c r="F115" s="60"/>
      <c r="G115" s="61" t="s">
        <v>33</v>
      </c>
      <c r="H115" s="69"/>
      <c r="I115" s="69"/>
      <c r="J115" s="149"/>
      <c r="K115" s="88"/>
      <c r="L115" s="69"/>
      <c r="M115" s="69">
        <v>1500</v>
      </c>
      <c r="N115" s="69">
        <v>1500</v>
      </c>
      <c r="O115" s="69">
        <v>1500</v>
      </c>
      <c r="P115" s="69">
        <v>1500</v>
      </c>
      <c r="Q115" s="69"/>
      <c r="R115" s="69"/>
      <c r="S115" s="69"/>
      <c r="T115" s="130">
        <f t="shared" si="46"/>
        <v>0</v>
      </c>
      <c r="U115" s="69"/>
      <c r="V115" s="69">
        <f t="shared" si="47"/>
        <v>6000</v>
      </c>
      <c r="W115" s="69"/>
    </row>
    <row r="116" spans="1:23" ht="17.25" customHeight="1" outlineLevel="3">
      <c r="A116" s="48"/>
      <c r="B116" s="58"/>
      <c r="C116" s="59"/>
      <c r="D116" s="59"/>
      <c r="E116" s="60"/>
      <c r="F116" s="60"/>
      <c r="G116" s="61" t="s">
        <v>34</v>
      </c>
      <c r="H116" s="69">
        <v>767</v>
      </c>
      <c r="I116" s="69">
        <v>767</v>
      </c>
      <c r="J116" s="149"/>
      <c r="K116" s="88"/>
      <c r="L116" s="69"/>
      <c r="M116" s="69">
        <v>1000</v>
      </c>
      <c r="N116" s="69">
        <v>1000</v>
      </c>
      <c r="O116" s="69">
        <v>1000</v>
      </c>
      <c r="P116" s="69">
        <v>1000</v>
      </c>
      <c r="Q116" s="69"/>
      <c r="R116" s="69"/>
      <c r="S116" s="69"/>
      <c r="T116" s="130">
        <f t="shared" si="46"/>
        <v>1534</v>
      </c>
      <c r="U116" s="69"/>
      <c r="V116" s="69">
        <f t="shared" si="47"/>
        <v>4000</v>
      </c>
      <c r="W116" s="69"/>
    </row>
    <row r="117" spans="1:23" ht="17.25" customHeight="1" outlineLevel="3">
      <c r="A117" s="48"/>
      <c r="B117" s="58"/>
      <c r="C117" s="59"/>
      <c r="D117" s="59"/>
      <c r="E117" s="60"/>
      <c r="F117" s="60"/>
      <c r="G117" s="61" t="s">
        <v>35</v>
      </c>
      <c r="H117" s="69">
        <v>1769</v>
      </c>
      <c r="I117" s="69">
        <v>1021</v>
      </c>
      <c r="J117" s="149"/>
      <c r="K117" s="88"/>
      <c r="L117" s="69"/>
      <c r="M117" s="69">
        <v>1000</v>
      </c>
      <c r="N117" s="69">
        <v>1000</v>
      </c>
      <c r="O117" s="69">
        <v>1000</v>
      </c>
      <c r="P117" s="69">
        <v>1000</v>
      </c>
      <c r="Q117" s="69"/>
      <c r="R117" s="69"/>
      <c r="S117" s="69"/>
      <c r="T117" s="130">
        <f t="shared" si="46"/>
        <v>2790</v>
      </c>
      <c r="U117" s="69"/>
      <c r="V117" s="69">
        <f t="shared" si="47"/>
        <v>4000</v>
      </c>
      <c r="W117" s="69"/>
    </row>
    <row r="118" spans="1:23" ht="17.25" customHeight="1" outlineLevel="3">
      <c r="A118" s="48"/>
      <c r="B118" s="58"/>
      <c r="C118" s="59"/>
      <c r="D118" s="59"/>
      <c r="E118" s="60"/>
      <c r="F118" s="60"/>
      <c r="G118" s="61" t="s">
        <v>36</v>
      </c>
      <c r="H118" s="69"/>
      <c r="I118" s="69"/>
      <c r="J118" s="149"/>
      <c r="K118" s="88"/>
      <c r="L118" s="69"/>
      <c r="M118" s="69"/>
      <c r="N118" s="69"/>
      <c r="O118" s="69"/>
      <c r="P118" s="69"/>
      <c r="Q118" s="69"/>
      <c r="R118" s="69"/>
      <c r="S118" s="69"/>
      <c r="T118" s="130">
        <f t="shared" si="46"/>
        <v>0</v>
      </c>
      <c r="U118" s="69"/>
      <c r="V118" s="69">
        <f t="shared" si="47"/>
        <v>0</v>
      </c>
      <c r="W118" s="69"/>
    </row>
    <row r="119" spans="1:23" ht="17.25" customHeight="1" outlineLevel="3">
      <c r="A119" s="48"/>
      <c r="B119" s="58"/>
      <c r="C119" s="59"/>
      <c r="D119" s="59"/>
      <c r="E119" s="60"/>
      <c r="F119" s="60"/>
      <c r="G119" s="61" t="s">
        <v>59</v>
      </c>
      <c r="H119" s="69">
        <v>2104</v>
      </c>
      <c r="I119" s="69"/>
      <c r="J119" s="149"/>
      <c r="K119" s="88"/>
      <c r="L119" s="69"/>
      <c r="M119" s="69"/>
      <c r="N119" s="69"/>
      <c r="O119" s="69"/>
      <c r="P119" s="69"/>
      <c r="Q119" s="69"/>
      <c r="R119" s="69"/>
      <c r="S119" s="69"/>
      <c r="T119" s="130">
        <f t="shared" si="46"/>
        <v>2104</v>
      </c>
      <c r="U119" s="69"/>
      <c r="V119" s="69">
        <f t="shared" si="47"/>
        <v>0</v>
      </c>
      <c r="W119" s="69"/>
    </row>
    <row r="120" spans="1:23" ht="21" customHeight="1" outlineLevel="1">
      <c r="A120" s="19"/>
      <c r="B120" s="39">
        <v>5</v>
      </c>
      <c r="C120" s="40" t="s">
        <v>60</v>
      </c>
      <c r="D120" s="41"/>
      <c r="E120" s="71"/>
      <c r="F120" s="71"/>
      <c r="G120" s="72"/>
      <c r="H120" s="111"/>
      <c r="I120" s="112"/>
      <c r="J120" s="113"/>
      <c r="K120" s="114"/>
      <c r="L120" s="111"/>
      <c r="M120" s="111"/>
      <c r="N120" s="111"/>
      <c r="O120" s="111"/>
      <c r="P120" s="111"/>
      <c r="Q120" s="111"/>
      <c r="R120" s="111"/>
      <c r="S120" s="111"/>
      <c r="T120" s="115">
        <f t="shared" ref="T120:W120" si="48">T121+T128+T135</f>
        <v>33027.866522141499</v>
      </c>
      <c r="U120" s="115">
        <f t="shared" si="48"/>
        <v>24186.174580612835</v>
      </c>
      <c r="V120" s="115">
        <f t="shared" si="48"/>
        <v>46635</v>
      </c>
      <c r="W120" s="115">
        <f t="shared" si="48"/>
        <v>54325</v>
      </c>
    </row>
    <row r="121" spans="1:23" ht="15.75" customHeight="1" outlineLevel="2">
      <c r="A121" s="48"/>
      <c r="B121" s="49">
        <v>5.0999999999999996</v>
      </c>
      <c r="C121" s="339" t="s">
        <v>61</v>
      </c>
      <c r="D121" s="340"/>
      <c r="E121" s="50">
        <v>45689</v>
      </c>
      <c r="F121" s="50">
        <v>45746</v>
      </c>
      <c r="G121" s="135"/>
      <c r="H121" s="150"/>
      <c r="I121" s="151"/>
      <c r="J121" s="119"/>
      <c r="K121" s="120"/>
      <c r="L121" s="121"/>
      <c r="M121" s="118"/>
      <c r="N121" s="118"/>
      <c r="O121" s="118"/>
      <c r="P121" s="118"/>
      <c r="Q121" s="118"/>
      <c r="R121" s="118"/>
      <c r="S121" s="118"/>
      <c r="T121" s="91">
        <f t="shared" ref="T121:W121" si="49">SUM(T122:T127)</f>
        <v>33027.866522141499</v>
      </c>
      <c r="U121" s="91">
        <f t="shared" si="49"/>
        <v>0</v>
      </c>
      <c r="V121" s="91">
        <f t="shared" si="49"/>
        <v>0</v>
      </c>
      <c r="W121" s="91">
        <f t="shared" si="49"/>
        <v>0</v>
      </c>
    </row>
    <row r="122" spans="1:23" ht="17.25" customHeight="1" outlineLevel="3">
      <c r="A122" s="48"/>
      <c r="B122" s="58"/>
      <c r="C122" s="59"/>
      <c r="D122" s="59"/>
      <c r="E122" s="60"/>
      <c r="F122" s="60"/>
      <c r="G122" s="61" t="s">
        <v>32</v>
      </c>
      <c r="H122" s="69"/>
      <c r="I122" s="69">
        <v>8866</v>
      </c>
      <c r="J122" s="149">
        <v>7591</v>
      </c>
      <c r="K122" s="88"/>
      <c r="L122" s="69"/>
      <c r="M122" s="69"/>
      <c r="N122" s="69"/>
      <c r="O122" s="69"/>
      <c r="P122" s="69"/>
      <c r="Q122" s="69"/>
      <c r="R122" s="69"/>
      <c r="S122" s="69"/>
      <c r="T122" s="130">
        <f t="shared" ref="T122:T127" si="50">SUM(H122:K122)</f>
        <v>16457</v>
      </c>
      <c r="U122" s="69"/>
      <c r="V122" s="69">
        <f t="shared" ref="V122:V127" si="51">SUM(L122:S122)</f>
        <v>0</v>
      </c>
      <c r="W122" s="69"/>
    </row>
    <row r="123" spans="1:23" ht="17.25" customHeight="1" outlineLevel="3">
      <c r="A123" s="48"/>
      <c r="B123" s="58"/>
      <c r="C123" s="59"/>
      <c r="D123" s="59"/>
      <c r="E123" s="60"/>
      <c r="F123" s="60"/>
      <c r="G123" s="61" t="s">
        <v>33</v>
      </c>
      <c r="H123" s="69"/>
      <c r="I123" s="69"/>
      <c r="J123" s="149"/>
      <c r="K123" s="88"/>
      <c r="L123" s="69"/>
      <c r="M123" s="69"/>
      <c r="N123" s="69"/>
      <c r="O123" s="69"/>
      <c r="P123" s="69"/>
      <c r="Q123" s="69"/>
      <c r="R123" s="69"/>
      <c r="S123" s="69"/>
      <c r="T123" s="130">
        <f t="shared" si="50"/>
        <v>0</v>
      </c>
      <c r="U123" s="69"/>
      <c r="V123" s="69">
        <f t="shared" si="51"/>
        <v>0</v>
      </c>
      <c r="W123" s="69"/>
    </row>
    <row r="124" spans="1:23" ht="17.25" customHeight="1" outlineLevel="3">
      <c r="A124" s="48"/>
      <c r="B124" s="58"/>
      <c r="C124" s="59"/>
      <c r="D124" s="59"/>
      <c r="E124" s="60"/>
      <c r="F124" s="60"/>
      <c r="G124" s="61" t="s">
        <v>34</v>
      </c>
      <c r="H124" s="69"/>
      <c r="I124" s="69">
        <v>2772</v>
      </c>
      <c r="J124" s="149">
        <v>3617</v>
      </c>
      <c r="K124" s="88"/>
      <c r="L124" s="69"/>
      <c r="M124" s="69"/>
      <c r="N124" s="69"/>
      <c r="O124" s="69"/>
      <c r="P124" s="69"/>
      <c r="Q124" s="69"/>
      <c r="R124" s="69"/>
      <c r="S124" s="69"/>
      <c r="T124" s="130">
        <f t="shared" si="50"/>
        <v>6389</v>
      </c>
      <c r="U124" s="69"/>
      <c r="V124" s="69">
        <f t="shared" si="51"/>
        <v>0</v>
      </c>
      <c r="W124" s="69"/>
    </row>
    <row r="125" spans="1:23" ht="17.25" customHeight="1" outlineLevel="3">
      <c r="A125" s="48"/>
      <c r="B125" s="58"/>
      <c r="C125" s="59"/>
      <c r="D125" s="59"/>
      <c r="E125" s="60"/>
      <c r="F125" s="60"/>
      <c r="G125" s="61" t="s">
        <v>35</v>
      </c>
      <c r="H125" s="69"/>
      <c r="I125" s="69">
        <v>5101.6703905758677</v>
      </c>
      <c r="J125" s="149">
        <v>5080.1961315656272</v>
      </c>
      <c r="K125" s="88"/>
      <c r="L125" s="69"/>
      <c r="M125" s="69"/>
      <c r="N125" s="69"/>
      <c r="O125" s="69"/>
      <c r="P125" s="69"/>
      <c r="Q125" s="69"/>
      <c r="R125" s="69"/>
      <c r="S125" s="69"/>
      <c r="T125" s="130">
        <f t="shared" si="50"/>
        <v>10181.866522141496</v>
      </c>
      <c r="U125" s="69"/>
      <c r="V125" s="69">
        <f t="shared" si="51"/>
        <v>0</v>
      </c>
      <c r="W125" s="69"/>
    </row>
    <row r="126" spans="1:23" ht="17.25" customHeight="1" outlineLevel="3">
      <c r="A126" s="48"/>
      <c r="B126" s="58"/>
      <c r="C126" s="59"/>
      <c r="D126" s="59"/>
      <c r="E126" s="60"/>
      <c r="F126" s="60"/>
      <c r="G126" s="61" t="s">
        <v>36</v>
      </c>
      <c r="H126" s="69"/>
      <c r="I126" s="69"/>
      <c r="J126" s="149"/>
      <c r="K126" s="88"/>
      <c r="L126" s="69"/>
      <c r="M126" s="69"/>
      <c r="N126" s="69"/>
      <c r="O126" s="69"/>
      <c r="P126" s="69"/>
      <c r="Q126" s="69"/>
      <c r="R126" s="69"/>
      <c r="S126" s="69"/>
      <c r="T126" s="130">
        <f t="shared" si="50"/>
        <v>0</v>
      </c>
      <c r="U126" s="69"/>
      <c r="V126" s="69">
        <f t="shared" si="51"/>
        <v>0</v>
      </c>
      <c r="W126" s="69"/>
    </row>
    <row r="127" spans="1:23" ht="17.25" customHeight="1" outlineLevel="3">
      <c r="A127" s="48"/>
      <c r="B127" s="58"/>
      <c r="C127" s="59"/>
      <c r="D127" s="59"/>
      <c r="E127" s="60"/>
      <c r="F127" s="60"/>
      <c r="G127" s="61" t="s">
        <v>37</v>
      </c>
      <c r="H127" s="69"/>
      <c r="I127" s="69"/>
      <c r="J127" s="149"/>
      <c r="K127" s="88"/>
      <c r="L127" s="69"/>
      <c r="M127" s="69"/>
      <c r="N127" s="69"/>
      <c r="O127" s="69"/>
      <c r="P127" s="69"/>
      <c r="Q127" s="69"/>
      <c r="R127" s="69"/>
      <c r="S127" s="69"/>
      <c r="T127" s="130">
        <f t="shared" si="50"/>
        <v>0</v>
      </c>
      <c r="U127" s="69"/>
      <c r="V127" s="69">
        <f t="shared" si="51"/>
        <v>0</v>
      </c>
      <c r="W127" s="69"/>
    </row>
    <row r="128" spans="1:23" ht="15.75" customHeight="1" outlineLevel="2">
      <c r="A128" s="48"/>
      <c r="B128" s="49">
        <v>5.2</v>
      </c>
      <c r="C128" s="339" t="s">
        <v>62</v>
      </c>
      <c r="D128" s="340"/>
      <c r="E128" s="159">
        <v>45931</v>
      </c>
      <c r="F128" s="50">
        <v>45991</v>
      </c>
      <c r="G128" s="160"/>
      <c r="H128" s="136"/>
      <c r="I128" s="137"/>
      <c r="J128" s="138"/>
      <c r="K128" s="139"/>
      <c r="L128" s="140"/>
      <c r="M128" s="141"/>
      <c r="N128" s="141"/>
      <c r="O128" s="141"/>
      <c r="P128" s="141"/>
      <c r="Q128" s="141"/>
      <c r="R128" s="141"/>
      <c r="S128" s="141"/>
      <c r="T128" s="142">
        <f t="shared" ref="T128:W128" si="52">SUM(T129:T134)</f>
        <v>0</v>
      </c>
      <c r="U128" s="142">
        <f t="shared" si="52"/>
        <v>0</v>
      </c>
      <c r="V128" s="142">
        <f t="shared" si="52"/>
        <v>46635</v>
      </c>
      <c r="W128" s="142">
        <f t="shared" si="52"/>
        <v>11000</v>
      </c>
    </row>
    <row r="129" spans="1:23" ht="17.25" customHeight="1" outlineLevel="3">
      <c r="A129" s="48"/>
      <c r="B129" s="58"/>
      <c r="C129" s="59"/>
      <c r="D129" s="59"/>
      <c r="E129" s="60"/>
      <c r="F129" s="60"/>
      <c r="G129" s="61" t="s">
        <v>32</v>
      </c>
      <c r="H129" s="69"/>
      <c r="I129" s="69"/>
      <c r="J129" s="149"/>
      <c r="K129" s="88"/>
      <c r="L129" s="69"/>
      <c r="M129" s="69"/>
      <c r="N129" s="69"/>
      <c r="O129" s="69"/>
      <c r="P129" s="69"/>
      <c r="Q129" s="110">
        <v>9287</v>
      </c>
      <c r="R129" s="110">
        <v>8948</v>
      </c>
      <c r="S129" s="69"/>
      <c r="T129" s="130">
        <f t="shared" ref="T129:T134" si="53">SUM(H129:K129)</f>
        <v>0</v>
      </c>
      <c r="U129" s="130">
        <f>SUM(H129:K129)</f>
        <v>0</v>
      </c>
      <c r="V129" s="69">
        <f t="shared" ref="V129:V131" si="54">SUM(L129:S129)</f>
        <v>18235</v>
      </c>
      <c r="W129" s="69"/>
    </row>
    <row r="130" spans="1:23" ht="17.25" customHeight="1" outlineLevel="3">
      <c r="A130" s="48"/>
      <c r="B130" s="58"/>
      <c r="C130" s="59"/>
      <c r="D130" s="59"/>
      <c r="E130" s="60"/>
      <c r="F130" s="60"/>
      <c r="G130" s="61" t="s">
        <v>33</v>
      </c>
      <c r="H130" s="69"/>
      <c r="I130" s="69"/>
      <c r="J130" s="149"/>
      <c r="K130" s="88"/>
      <c r="L130" s="69"/>
      <c r="M130" s="69"/>
      <c r="N130" s="69"/>
      <c r="O130" s="69"/>
      <c r="P130" s="69"/>
      <c r="Q130" s="310">
        <v>6880</v>
      </c>
      <c r="R130" s="310">
        <v>6880</v>
      </c>
      <c r="S130" s="69"/>
      <c r="T130" s="130">
        <f t="shared" si="53"/>
        <v>0</v>
      </c>
      <c r="U130" s="69"/>
      <c r="V130" s="69">
        <f t="shared" si="54"/>
        <v>13760</v>
      </c>
      <c r="W130" s="69"/>
    </row>
    <row r="131" spans="1:23" ht="17.25" customHeight="1" outlineLevel="3">
      <c r="A131" s="48"/>
      <c r="B131" s="58"/>
      <c r="C131" s="59"/>
      <c r="D131" s="59"/>
      <c r="E131" s="60"/>
      <c r="F131" s="60"/>
      <c r="G131" s="61" t="s">
        <v>34</v>
      </c>
      <c r="H131" s="69"/>
      <c r="I131" s="69"/>
      <c r="J131" s="149"/>
      <c r="K131" s="88"/>
      <c r="L131" s="69"/>
      <c r="M131" s="69"/>
      <c r="N131" s="69"/>
      <c r="O131" s="69"/>
      <c r="P131" s="69"/>
      <c r="Q131" s="310">
        <v>7320</v>
      </c>
      <c r="R131" s="310">
        <v>7320</v>
      </c>
      <c r="S131" s="69"/>
      <c r="T131" s="130">
        <f t="shared" si="53"/>
        <v>0</v>
      </c>
      <c r="U131" s="69"/>
      <c r="V131" s="69">
        <f t="shared" si="54"/>
        <v>14640</v>
      </c>
      <c r="W131" s="69"/>
    </row>
    <row r="132" spans="1:23" ht="17.25" customHeight="1" outlineLevel="3">
      <c r="A132" s="48"/>
      <c r="B132" s="58"/>
      <c r="C132" s="59"/>
      <c r="D132" s="59"/>
      <c r="E132" s="60"/>
      <c r="F132" s="60"/>
      <c r="G132" s="61" t="s">
        <v>35</v>
      </c>
      <c r="H132" s="69"/>
      <c r="I132" s="69"/>
      <c r="J132" s="149"/>
      <c r="K132" s="88"/>
      <c r="L132" s="69"/>
      <c r="M132" s="69"/>
      <c r="N132" s="69"/>
      <c r="O132" s="69"/>
      <c r="P132" s="69"/>
      <c r="Q132" s="310">
        <v>4250</v>
      </c>
      <c r="R132" s="310">
        <v>4250</v>
      </c>
      <c r="S132" s="69"/>
      <c r="T132" s="130">
        <f t="shared" si="53"/>
        <v>0</v>
      </c>
      <c r="U132" s="69"/>
      <c r="V132" s="69"/>
      <c r="W132" s="69">
        <f t="shared" ref="W132:W133" si="55">SUM(L132:S132)</f>
        <v>8500</v>
      </c>
    </row>
    <row r="133" spans="1:23" ht="17.25" customHeight="1" outlineLevel="3">
      <c r="A133" s="48"/>
      <c r="B133" s="58"/>
      <c r="C133" s="59"/>
      <c r="D133" s="59"/>
      <c r="E133" s="60"/>
      <c r="F133" s="60"/>
      <c r="G133" s="61" t="s">
        <v>36</v>
      </c>
      <c r="H133" s="69"/>
      <c r="I133" s="69"/>
      <c r="J133" s="149"/>
      <c r="K133" s="88"/>
      <c r="L133" s="69"/>
      <c r="M133" s="69"/>
      <c r="N133" s="69"/>
      <c r="O133" s="69"/>
      <c r="P133" s="69"/>
      <c r="Q133" s="310">
        <v>1250</v>
      </c>
      <c r="R133" s="310">
        <v>1250</v>
      </c>
      <c r="S133" s="69"/>
      <c r="T133" s="130">
        <f t="shared" si="53"/>
        <v>0</v>
      </c>
      <c r="U133" s="69"/>
      <c r="V133" s="69"/>
      <c r="W133" s="69">
        <f t="shared" si="55"/>
        <v>2500</v>
      </c>
    </row>
    <row r="134" spans="1:23" ht="17.25" customHeight="1" outlineLevel="3">
      <c r="A134" s="48"/>
      <c r="B134" s="58"/>
      <c r="C134" s="59"/>
      <c r="D134" s="59"/>
      <c r="E134" s="60"/>
      <c r="F134" s="60"/>
      <c r="G134" s="61" t="s">
        <v>37</v>
      </c>
      <c r="H134" s="69"/>
      <c r="I134" s="69"/>
      <c r="J134" s="149"/>
      <c r="K134" s="88"/>
      <c r="L134" s="69"/>
      <c r="M134" s="69"/>
      <c r="N134" s="69"/>
      <c r="O134" s="69"/>
      <c r="P134" s="69"/>
      <c r="Q134" s="69"/>
      <c r="R134" s="69"/>
      <c r="S134" s="69"/>
      <c r="T134" s="130">
        <f t="shared" si="53"/>
        <v>0</v>
      </c>
      <c r="U134" s="69"/>
      <c r="V134" s="69">
        <f>SUM(L134:S134)</f>
        <v>0</v>
      </c>
      <c r="W134" s="69"/>
    </row>
    <row r="135" spans="1:23" ht="15.75" customHeight="1" outlineLevel="2">
      <c r="A135" s="48"/>
      <c r="B135" s="49">
        <v>5.3</v>
      </c>
      <c r="C135" s="332" t="s">
        <v>63</v>
      </c>
      <c r="D135" s="330"/>
      <c r="E135" s="50">
        <v>45823</v>
      </c>
      <c r="F135" s="49" t="s">
        <v>64</v>
      </c>
      <c r="G135" s="135"/>
      <c r="H135" s="136"/>
      <c r="I135" s="137"/>
      <c r="J135" s="138"/>
      <c r="K135" s="139"/>
      <c r="L135" s="140"/>
      <c r="M135" s="141"/>
      <c r="N135" s="141"/>
      <c r="O135" s="141"/>
      <c r="P135" s="141"/>
      <c r="Q135" s="141"/>
      <c r="R135" s="141"/>
      <c r="S135" s="141"/>
      <c r="T135" s="142">
        <f t="shared" ref="T135:W135" si="56">SUM(T136:T141)</f>
        <v>0</v>
      </c>
      <c r="U135" s="142">
        <f t="shared" si="56"/>
        <v>24186.174580612835</v>
      </c>
      <c r="V135" s="142">
        <f t="shared" si="56"/>
        <v>0</v>
      </c>
      <c r="W135" s="142">
        <f t="shared" si="56"/>
        <v>43325</v>
      </c>
    </row>
    <row r="136" spans="1:23" ht="17.25" customHeight="1" outlineLevel="3">
      <c r="A136" s="48"/>
      <c r="B136" s="58"/>
      <c r="C136" s="59"/>
      <c r="D136" s="59"/>
      <c r="E136" s="60"/>
      <c r="F136" s="60"/>
      <c r="G136" s="61" t="s">
        <v>32</v>
      </c>
      <c r="H136" s="69"/>
      <c r="I136" s="69"/>
      <c r="J136" s="149"/>
      <c r="K136" s="88"/>
      <c r="L136" s="69"/>
      <c r="M136" s="69"/>
      <c r="N136" s="69"/>
      <c r="O136" s="69"/>
      <c r="P136" s="69"/>
      <c r="Q136" s="69"/>
      <c r="R136" s="69"/>
      <c r="S136" s="69"/>
      <c r="T136" s="130"/>
      <c r="U136" s="69">
        <f t="shared" ref="U136:U141" si="57">SUM(H136:K136)</f>
        <v>0</v>
      </c>
      <c r="V136" s="69"/>
      <c r="W136" s="69">
        <f t="shared" ref="W136:W141" si="58">SUM(L136:S136)</f>
        <v>0</v>
      </c>
    </row>
    <row r="137" spans="1:23" ht="17.25" customHeight="1" outlineLevel="3">
      <c r="A137" s="48"/>
      <c r="B137" s="58"/>
      <c r="C137" s="59"/>
      <c r="D137" s="59"/>
      <c r="E137" s="60"/>
      <c r="F137" s="60"/>
      <c r="G137" s="61" t="s">
        <v>33</v>
      </c>
      <c r="H137" s="69"/>
      <c r="I137" s="69"/>
      <c r="J137" s="149"/>
      <c r="K137" s="88"/>
      <c r="L137" s="69"/>
      <c r="M137" s="310">
        <v>3720</v>
      </c>
      <c r="N137" s="310">
        <v>3720</v>
      </c>
      <c r="O137" s="310">
        <v>3720</v>
      </c>
      <c r="P137" s="310">
        <v>3720</v>
      </c>
      <c r="Q137" s="69"/>
      <c r="R137" s="69"/>
      <c r="S137" s="69"/>
      <c r="T137" s="130"/>
      <c r="U137" s="69">
        <f t="shared" si="57"/>
        <v>0</v>
      </c>
      <c r="V137" s="69"/>
      <c r="W137" s="69">
        <f t="shared" si="58"/>
        <v>14880</v>
      </c>
    </row>
    <row r="138" spans="1:23" ht="17.25" customHeight="1" outlineLevel="3">
      <c r="A138" s="48"/>
      <c r="B138" s="58"/>
      <c r="C138" s="59"/>
      <c r="D138" s="59"/>
      <c r="E138" s="60"/>
      <c r="F138" s="60"/>
      <c r="G138" s="61" t="s">
        <v>34</v>
      </c>
      <c r="H138" s="69">
        <v>1020</v>
      </c>
      <c r="I138" s="69">
        <v>832</v>
      </c>
      <c r="J138" s="149">
        <v>1024</v>
      </c>
      <c r="K138" s="88">
        <v>982</v>
      </c>
      <c r="L138" s="69">
        <v>985</v>
      </c>
      <c r="M138" s="311">
        <v>2040</v>
      </c>
      <c r="N138" s="311">
        <v>2040</v>
      </c>
      <c r="O138" s="311">
        <v>2040</v>
      </c>
      <c r="P138" s="311">
        <v>2040</v>
      </c>
      <c r="Q138" s="69"/>
      <c r="R138" s="69"/>
      <c r="S138" s="69"/>
      <c r="T138" s="130"/>
      <c r="U138" s="69">
        <f t="shared" si="57"/>
        <v>3858</v>
      </c>
      <c r="V138" s="69"/>
      <c r="W138" s="69">
        <f t="shared" si="58"/>
        <v>9145</v>
      </c>
    </row>
    <row r="139" spans="1:23" ht="17.25" customHeight="1" outlineLevel="3">
      <c r="A139" s="48"/>
      <c r="B139" s="58"/>
      <c r="C139" s="59"/>
      <c r="D139" s="59"/>
      <c r="E139" s="60"/>
      <c r="F139" s="60"/>
      <c r="G139" s="61" t="s">
        <v>35</v>
      </c>
      <c r="H139" s="69">
        <v>1185.1745806128345</v>
      </c>
      <c r="I139" s="69">
        <v>449</v>
      </c>
      <c r="J139" s="149">
        <v>539</v>
      </c>
      <c r="K139" s="88">
        <v>901</v>
      </c>
      <c r="L139" s="69">
        <v>900</v>
      </c>
      <c r="M139" s="311">
        <v>2200</v>
      </c>
      <c r="N139" s="311">
        <v>2200</v>
      </c>
      <c r="O139" s="311">
        <v>2200</v>
      </c>
      <c r="P139" s="311">
        <v>2200</v>
      </c>
      <c r="Q139" s="69"/>
      <c r="R139" s="69"/>
      <c r="S139" s="69"/>
      <c r="T139" s="130"/>
      <c r="U139" s="69">
        <f t="shared" si="57"/>
        <v>3074.1745806128347</v>
      </c>
      <c r="V139" s="69"/>
      <c r="W139" s="69">
        <f t="shared" si="58"/>
        <v>9700</v>
      </c>
    </row>
    <row r="140" spans="1:23" ht="17.25" customHeight="1" outlineLevel="3">
      <c r="A140" s="48"/>
      <c r="B140" s="58"/>
      <c r="C140" s="59"/>
      <c r="D140" s="59"/>
      <c r="E140" s="60"/>
      <c r="F140" s="60"/>
      <c r="G140" s="61" t="s">
        <v>36</v>
      </c>
      <c r="H140" s="69">
        <v>5024</v>
      </c>
      <c r="I140" s="69">
        <v>4673</v>
      </c>
      <c r="J140" s="149">
        <v>3501</v>
      </c>
      <c r="K140" s="88">
        <v>4056</v>
      </c>
      <c r="L140" s="69">
        <v>4000</v>
      </c>
      <c r="M140" s="310">
        <v>1400</v>
      </c>
      <c r="N140" s="310">
        <v>1400</v>
      </c>
      <c r="O140" s="310">
        <v>1400</v>
      </c>
      <c r="P140" s="310">
        <v>1400</v>
      </c>
      <c r="Q140" s="69"/>
      <c r="R140" s="69"/>
      <c r="S140" s="69"/>
      <c r="T140" s="130"/>
      <c r="U140" s="69">
        <f t="shared" si="57"/>
        <v>17254</v>
      </c>
      <c r="V140" s="69"/>
      <c r="W140" s="69">
        <f t="shared" si="58"/>
        <v>9600</v>
      </c>
    </row>
    <row r="141" spans="1:23" ht="17.25" customHeight="1" outlineLevel="3">
      <c r="A141" s="48"/>
      <c r="B141" s="58"/>
      <c r="C141" s="59"/>
      <c r="D141" s="59"/>
      <c r="E141" s="60"/>
      <c r="F141" s="60"/>
      <c r="G141" s="61" t="s">
        <v>37</v>
      </c>
      <c r="H141" s="69"/>
      <c r="I141" s="69"/>
      <c r="J141" s="149"/>
      <c r="K141" s="88"/>
      <c r="L141" s="69"/>
      <c r="M141" s="69"/>
      <c r="N141" s="69"/>
      <c r="O141" s="69"/>
      <c r="P141" s="69"/>
      <c r="Q141" s="69"/>
      <c r="R141" s="69"/>
      <c r="S141" s="69"/>
      <c r="T141" s="130"/>
      <c r="U141" s="69">
        <f t="shared" si="57"/>
        <v>0</v>
      </c>
      <c r="V141" s="69"/>
      <c r="W141" s="69">
        <f t="shared" si="58"/>
        <v>0</v>
      </c>
    </row>
    <row r="142" spans="1:23" ht="21" customHeight="1" outlineLevel="1" collapsed="1">
      <c r="A142" s="19"/>
      <c r="B142" s="39">
        <v>6</v>
      </c>
      <c r="C142" s="40" t="s">
        <v>65</v>
      </c>
      <c r="D142" s="41"/>
      <c r="E142" s="71"/>
      <c r="F142" s="71"/>
      <c r="G142" s="72"/>
      <c r="H142" s="111"/>
      <c r="I142" s="112"/>
      <c r="J142" s="113"/>
      <c r="K142" s="114"/>
      <c r="L142" s="111"/>
      <c r="M142" s="111"/>
      <c r="N142" s="111"/>
      <c r="O142" s="111"/>
      <c r="P142" s="111"/>
      <c r="Q142" s="111"/>
      <c r="R142" s="111"/>
      <c r="S142" s="111"/>
      <c r="T142" s="115">
        <f t="shared" ref="T142:W142" si="59">T143+T150+T157</f>
        <v>5197</v>
      </c>
      <c r="U142" s="115">
        <f t="shared" si="59"/>
        <v>2775</v>
      </c>
      <c r="V142" s="115">
        <f t="shared" si="59"/>
        <v>72470</v>
      </c>
      <c r="W142" s="115">
        <f t="shared" si="59"/>
        <v>7800</v>
      </c>
    </row>
    <row r="143" spans="1:23" ht="15.75" hidden="1" customHeight="1" outlineLevel="2">
      <c r="A143" s="48"/>
      <c r="B143" s="49">
        <v>6.1</v>
      </c>
      <c r="C143" s="339" t="s">
        <v>66</v>
      </c>
      <c r="D143" s="340"/>
      <c r="E143" s="50">
        <v>45792</v>
      </c>
      <c r="F143" s="50">
        <v>45838</v>
      </c>
      <c r="G143" s="135"/>
      <c r="H143" s="150"/>
      <c r="I143" s="151"/>
      <c r="J143" s="119"/>
      <c r="K143" s="120"/>
      <c r="L143" s="121"/>
      <c r="M143" s="118"/>
      <c r="N143" s="118"/>
      <c r="O143" s="118"/>
      <c r="P143" s="118"/>
      <c r="Q143" s="118"/>
      <c r="R143" s="118"/>
      <c r="S143" s="118"/>
      <c r="T143" s="91">
        <f t="shared" ref="T143:W143" si="60">SUM(T144:T149)</f>
        <v>0</v>
      </c>
      <c r="U143" s="91">
        <f t="shared" si="60"/>
        <v>0</v>
      </c>
      <c r="V143" s="91">
        <f t="shared" si="60"/>
        <v>40630</v>
      </c>
      <c r="W143" s="91">
        <f t="shared" si="60"/>
        <v>2200</v>
      </c>
    </row>
    <row r="144" spans="1:23" ht="17.25" hidden="1" customHeight="1" outlineLevel="3">
      <c r="A144" s="48"/>
      <c r="B144" s="58"/>
      <c r="C144" s="59"/>
      <c r="D144" s="59"/>
      <c r="E144" s="60"/>
      <c r="F144" s="60"/>
      <c r="G144" s="61" t="s">
        <v>32</v>
      </c>
      <c r="H144" s="69"/>
      <c r="I144" s="69"/>
      <c r="J144" s="149"/>
      <c r="K144" s="88"/>
      <c r="L144" s="69">
        <v>6548</v>
      </c>
      <c r="M144" s="69">
        <v>6282</v>
      </c>
      <c r="N144" s="69"/>
      <c r="O144" s="69"/>
      <c r="P144" s="69"/>
      <c r="Q144" s="69"/>
      <c r="R144" s="69"/>
      <c r="S144" s="69"/>
      <c r="T144" s="130">
        <f>SUM(H144:K144)</f>
        <v>0</v>
      </c>
      <c r="U144" s="69"/>
      <c r="V144" s="69">
        <f t="shared" ref="V144:V147" si="61">SUM(L144:S144)</f>
        <v>12830</v>
      </c>
      <c r="W144" s="69"/>
    </row>
    <row r="145" spans="1:23" ht="17.25" hidden="1" customHeight="1" outlineLevel="3">
      <c r="A145" s="48"/>
      <c r="B145" s="58"/>
      <c r="C145" s="59"/>
      <c r="D145" s="59"/>
      <c r="E145" s="60"/>
      <c r="F145" s="60"/>
      <c r="G145" s="61" t="s">
        <v>33</v>
      </c>
      <c r="H145" s="69"/>
      <c r="I145" s="69"/>
      <c r="J145" s="149"/>
      <c r="K145" s="88"/>
      <c r="L145" s="92">
        <v>5000</v>
      </c>
      <c r="M145" s="92">
        <v>5000</v>
      </c>
      <c r="N145" s="69"/>
      <c r="O145" s="69"/>
      <c r="P145" s="69"/>
      <c r="Q145" s="69"/>
      <c r="R145" s="69"/>
      <c r="S145" s="69"/>
      <c r="T145" s="130"/>
      <c r="U145" s="69"/>
      <c r="V145" s="69">
        <f t="shared" si="61"/>
        <v>10000</v>
      </c>
      <c r="W145" s="69"/>
    </row>
    <row r="146" spans="1:23" ht="17.25" hidden="1" customHeight="1" outlineLevel="3">
      <c r="A146" s="48"/>
      <c r="B146" s="58"/>
      <c r="C146" s="59"/>
      <c r="D146" s="59"/>
      <c r="E146" s="60"/>
      <c r="F146" s="60"/>
      <c r="G146" s="61" t="s">
        <v>34</v>
      </c>
      <c r="H146" s="69"/>
      <c r="I146" s="69"/>
      <c r="J146" s="149"/>
      <c r="K146" s="88"/>
      <c r="L146" s="69">
        <v>5000</v>
      </c>
      <c r="M146" s="69">
        <v>5000</v>
      </c>
      <c r="N146" s="69"/>
      <c r="O146" s="69"/>
      <c r="P146" s="69"/>
      <c r="Q146" s="69"/>
      <c r="R146" s="69"/>
      <c r="S146" s="69"/>
      <c r="T146" s="130"/>
      <c r="U146" s="69"/>
      <c r="V146" s="69">
        <f t="shared" si="61"/>
        <v>10000</v>
      </c>
      <c r="W146" s="69"/>
    </row>
    <row r="147" spans="1:23" ht="17.25" hidden="1" customHeight="1" outlineLevel="3">
      <c r="A147" s="48"/>
      <c r="B147" s="58"/>
      <c r="C147" s="59"/>
      <c r="D147" s="59"/>
      <c r="E147" s="60"/>
      <c r="F147" s="60"/>
      <c r="G147" s="61" t="s">
        <v>35</v>
      </c>
      <c r="H147" s="69"/>
      <c r="I147" s="69"/>
      <c r="J147" s="149"/>
      <c r="K147" s="88"/>
      <c r="L147" s="69">
        <v>3900</v>
      </c>
      <c r="M147" s="69">
        <v>3900</v>
      </c>
      <c r="N147" s="69"/>
      <c r="O147" s="69"/>
      <c r="P147" s="69"/>
      <c r="Q147" s="69"/>
      <c r="R147" s="69"/>
      <c r="S147" s="69"/>
      <c r="T147" s="130"/>
      <c r="U147" s="69"/>
      <c r="V147" s="69">
        <f t="shared" si="61"/>
        <v>7800</v>
      </c>
      <c r="W147" s="69"/>
    </row>
    <row r="148" spans="1:23" ht="17.25" hidden="1" customHeight="1" outlineLevel="3">
      <c r="A148" s="48"/>
      <c r="B148" s="58"/>
      <c r="C148" s="59"/>
      <c r="D148" s="59"/>
      <c r="E148" s="60"/>
      <c r="F148" s="60"/>
      <c r="G148" s="61" t="s">
        <v>36</v>
      </c>
      <c r="H148" s="69"/>
      <c r="I148" s="69"/>
      <c r="J148" s="149"/>
      <c r="K148" s="88"/>
      <c r="L148" s="69">
        <v>1100</v>
      </c>
      <c r="M148" s="69">
        <v>1100</v>
      </c>
      <c r="N148" s="69"/>
      <c r="O148" s="69"/>
      <c r="P148" s="69"/>
      <c r="Q148" s="69"/>
      <c r="R148" s="69"/>
      <c r="S148" s="69"/>
      <c r="T148" s="130"/>
      <c r="U148" s="69"/>
      <c r="V148" s="69"/>
      <c r="W148" s="69">
        <f>SUM(L148:S148)</f>
        <v>2200</v>
      </c>
    </row>
    <row r="149" spans="1:23" ht="17.25" hidden="1" customHeight="1" outlineLevel="3">
      <c r="A149" s="48"/>
      <c r="B149" s="58"/>
      <c r="C149" s="59"/>
      <c r="D149" s="59"/>
      <c r="E149" s="60"/>
      <c r="F149" s="60"/>
      <c r="G149" s="61" t="s">
        <v>37</v>
      </c>
      <c r="H149" s="69"/>
      <c r="I149" s="69"/>
      <c r="J149" s="149"/>
      <c r="K149" s="88"/>
      <c r="L149" s="69"/>
      <c r="M149" s="69"/>
      <c r="N149" s="69"/>
      <c r="O149" s="69"/>
      <c r="P149" s="69"/>
      <c r="Q149" s="69"/>
      <c r="R149" s="69"/>
      <c r="S149" s="69"/>
      <c r="T149" s="130"/>
      <c r="U149" s="69"/>
      <c r="V149" s="69"/>
      <c r="W149" s="69"/>
    </row>
    <row r="150" spans="1:23" ht="15.75" hidden="1" customHeight="1" outlineLevel="2">
      <c r="A150" s="48"/>
      <c r="B150" s="49">
        <v>6.2</v>
      </c>
      <c r="C150" s="332" t="s">
        <v>67</v>
      </c>
      <c r="D150" s="330"/>
      <c r="E150" s="50">
        <v>45809</v>
      </c>
      <c r="F150" s="50">
        <v>45930</v>
      </c>
      <c r="G150" s="135"/>
      <c r="H150" s="136"/>
      <c r="I150" s="137"/>
      <c r="J150" s="138"/>
      <c r="K150" s="139"/>
      <c r="L150" s="140"/>
      <c r="M150" s="141"/>
      <c r="N150" s="141"/>
      <c r="O150" s="141"/>
      <c r="P150" s="141"/>
      <c r="Q150" s="141"/>
      <c r="R150" s="141"/>
      <c r="S150" s="141"/>
      <c r="T150" s="142">
        <f t="shared" ref="T150:W150" si="62">SUM(T151:T156)</f>
        <v>0</v>
      </c>
      <c r="U150" s="142">
        <f t="shared" si="62"/>
        <v>0</v>
      </c>
      <c r="V150" s="142">
        <f t="shared" si="62"/>
        <v>31840</v>
      </c>
      <c r="W150" s="142">
        <f t="shared" si="62"/>
        <v>5600</v>
      </c>
    </row>
    <row r="151" spans="1:23" ht="17.25" hidden="1" customHeight="1" outlineLevel="3">
      <c r="A151" s="48"/>
      <c r="B151" s="58"/>
      <c r="C151" s="59"/>
      <c r="D151" s="59"/>
      <c r="E151" s="60"/>
      <c r="F151" s="60"/>
      <c r="G151" s="61" t="s">
        <v>32</v>
      </c>
      <c r="H151" s="69"/>
      <c r="I151" s="69"/>
      <c r="J151" s="149"/>
      <c r="K151" s="88"/>
      <c r="L151" s="69"/>
      <c r="M151" s="69"/>
      <c r="N151" s="69"/>
      <c r="O151" s="69"/>
      <c r="P151" s="69"/>
      <c r="Q151" s="69"/>
      <c r="R151" s="69"/>
      <c r="S151" s="69"/>
      <c r="T151" s="130"/>
      <c r="U151" s="69"/>
      <c r="V151" s="69">
        <f t="shared" ref="V151:V154" si="63">SUM(L151:S151)</f>
        <v>0</v>
      </c>
      <c r="W151" s="69"/>
    </row>
    <row r="152" spans="1:23" ht="17.25" hidden="1" customHeight="1" outlineLevel="3">
      <c r="A152" s="48"/>
      <c r="B152" s="58"/>
      <c r="C152" s="59"/>
      <c r="D152" s="59"/>
      <c r="E152" s="60"/>
      <c r="F152" s="60"/>
      <c r="G152" s="61" t="s">
        <v>33</v>
      </c>
      <c r="H152" s="69"/>
      <c r="I152" s="69"/>
      <c r="J152" s="149"/>
      <c r="K152" s="88"/>
      <c r="L152" s="69"/>
      <c r="M152" s="310">
        <v>3720</v>
      </c>
      <c r="N152" s="310">
        <v>3720</v>
      </c>
      <c r="O152" s="310">
        <v>3720</v>
      </c>
      <c r="P152" s="310">
        <v>3720</v>
      </c>
      <c r="Q152" s="69"/>
      <c r="R152" s="69"/>
      <c r="S152" s="69"/>
      <c r="T152" s="130"/>
      <c r="U152" s="69"/>
      <c r="V152" s="69">
        <f t="shared" si="63"/>
        <v>14880</v>
      </c>
      <c r="W152" s="69"/>
    </row>
    <row r="153" spans="1:23" ht="17.25" hidden="1" customHeight="1" outlineLevel="3">
      <c r="A153" s="48"/>
      <c r="B153" s="58"/>
      <c r="C153" s="59"/>
      <c r="D153" s="59"/>
      <c r="E153" s="60"/>
      <c r="F153" s="60"/>
      <c r="G153" s="61" t="s">
        <v>34</v>
      </c>
      <c r="H153" s="69"/>
      <c r="I153" s="69"/>
      <c r="J153" s="149"/>
      <c r="K153" s="88"/>
      <c r="L153" s="69"/>
      <c r="M153" s="311">
        <v>2040</v>
      </c>
      <c r="N153" s="311">
        <v>2040</v>
      </c>
      <c r="O153" s="311">
        <v>2040</v>
      </c>
      <c r="P153" s="311">
        <v>2040</v>
      </c>
      <c r="Q153" s="69"/>
      <c r="R153" s="69"/>
      <c r="S153" s="69"/>
      <c r="T153" s="130"/>
      <c r="U153" s="69"/>
      <c r="V153" s="69">
        <f t="shared" si="63"/>
        <v>8160</v>
      </c>
      <c r="W153" s="69"/>
    </row>
    <row r="154" spans="1:23" ht="17.25" hidden="1" customHeight="1" outlineLevel="3">
      <c r="A154" s="48"/>
      <c r="B154" s="58"/>
      <c r="C154" s="59"/>
      <c r="D154" s="59"/>
      <c r="E154" s="60"/>
      <c r="F154" s="60"/>
      <c r="G154" s="61" t="s">
        <v>35</v>
      </c>
      <c r="H154" s="69"/>
      <c r="I154" s="69"/>
      <c r="J154" s="149"/>
      <c r="K154" s="88"/>
      <c r="L154" s="69"/>
      <c r="M154" s="311">
        <v>2200</v>
      </c>
      <c r="N154" s="311">
        <v>2200</v>
      </c>
      <c r="O154" s="311">
        <v>2200</v>
      </c>
      <c r="P154" s="311">
        <v>2200</v>
      </c>
      <c r="Q154" s="69"/>
      <c r="R154" s="69"/>
      <c r="S154" s="69"/>
      <c r="T154" s="130"/>
      <c r="U154" s="69"/>
      <c r="V154" s="69">
        <f t="shared" si="63"/>
        <v>8800</v>
      </c>
      <c r="W154" s="69"/>
    </row>
    <row r="155" spans="1:23" ht="17.25" hidden="1" customHeight="1" outlineLevel="3">
      <c r="A155" s="48"/>
      <c r="B155" s="58"/>
      <c r="C155" s="59"/>
      <c r="D155" s="59"/>
      <c r="E155" s="60"/>
      <c r="F155" s="60"/>
      <c r="G155" s="61" t="s">
        <v>36</v>
      </c>
      <c r="H155" s="69"/>
      <c r="I155" s="69"/>
      <c r="J155" s="149"/>
      <c r="K155" s="88"/>
      <c r="L155" s="69"/>
      <c r="M155" s="310">
        <v>1400</v>
      </c>
      <c r="N155" s="310">
        <v>1400</v>
      </c>
      <c r="O155" s="310">
        <v>1400</v>
      </c>
      <c r="P155" s="310">
        <v>1400</v>
      </c>
      <c r="Q155" s="69"/>
      <c r="R155" s="69"/>
      <c r="S155" s="69"/>
      <c r="T155" s="130"/>
      <c r="U155" s="69"/>
      <c r="V155" s="69"/>
      <c r="W155" s="69">
        <f>SUM(L155:S155)</f>
        <v>5600</v>
      </c>
    </row>
    <row r="156" spans="1:23" ht="17.25" hidden="1" customHeight="1" outlineLevel="3">
      <c r="A156" s="48"/>
      <c r="B156" s="58"/>
      <c r="C156" s="59"/>
      <c r="D156" s="59"/>
      <c r="E156" s="60"/>
      <c r="F156" s="60"/>
      <c r="G156" s="61" t="s">
        <v>37</v>
      </c>
      <c r="H156" s="69"/>
      <c r="I156" s="69"/>
      <c r="J156" s="149"/>
      <c r="K156" s="88"/>
      <c r="L156" s="69"/>
      <c r="M156" s="69"/>
      <c r="N156" s="69"/>
      <c r="O156" s="69"/>
      <c r="P156" s="69"/>
      <c r="Q156" s="69"/>
      <c r="R156" s="69"/>
      <c r="S156" s="69"/>
      <c r="T156" s="130"/>
      <c r="U156" s="69"/>
      <c r="V156" s="69"/>
      <c r="W156" s="69"/>
    </row>
    <row r="157" spans="1:23" ht="15.75" hidden="1" customHeight="1" outlineLevel="2">
      <c r="A157" s="48"/>
      <c r="B157" s="49" t="s">
        <v>68</v>
      </c>
      <c r="C157" s="332" t="s">
        <v>69</v>
      </c>
      <c r="D157" s="330"/>
      <c r="E157" s="50">
        <v>45658</v>
      </c>
      <c r="F157" s="50">
        <v>46021</v>
      </c>
      <c r="G157" s="135"/>
      <c r="H157" s="136"/>
      <c r="I157" s="137"/>
      <c r="J157" s="138"/>
      <c r="K157" s="139"/>
      <c r="L157" s="140"/>
      <c r="M157" s="141"/>
      <c r="N157" s="141"/>
      <c r="O157" s="141"/>
      <c r="P157" s="141"/>
      <c r="Q157" s="141"/>
      <c r="R157" s="141"/>
      <c r="S157" s="141"/>
      <c r="T157" s="142">
        <f t="shared" ref="T157:W157" si="64">SUM(T158:T163)</f>
        <v>5197</v>
      </c>
      <c r="U157" s="142">
        <f t="shared" si="64"/>
        <v>2775</v>
      </c>
      <c r="V157" s="142">
        <f t="shared" si="64"/>
        <v>0</v>
      </c>
      <c r="W157" s="142">
        <f t="shared" si="64"/>
        <v>0</v>
      </c>
    </row>
    <row r="158" spans="1:23" ht="17.25" hidden="1" customHeight="1" outlineLevel="3">
      <c r="A158" s="48"/>
      <c r="B158" s="58"/>
      <c r="C158" s="59"/>
      <c r="D158" s="59"/>
      <c r="E158" s="60"/>
      <c r="F158" s="60"/>
      <c r="G158" s="61" t="s">
        <v>32</v>
      </c>
      <c r="H158" s="69"/>
      <c r="I158" s="69"/>
      <c r="J158" s="149"/>
      <c r="K158" s="88"/>
      <c r="L158" s="69"/>
      <c r="M158" s="69"/>
      <c r="N158" s="69"/>
      <c r="O158" s="69"/>
      <c r="P158" s="69"/>
      <c r="Q158" s="69"/>
      <c r="R158" s="69"/>
      <c r="S158" s="69"/>
      <c r="T158" s="130">
        <f t="shared" ref="T158:T161" si="65">SUM(H158:K158)</f>
        <v>0</v>
      </c>
      <c r="U158" s="69"/>
      <c r="V158" s="69"/>
      <c r="W158" s="69"/>
    </row>
    <row r="159" spans="1:23" ht="17.25" hidden="1" customHeight="1" outlineLevel="3">
      <c r="A159" s="48"/>
      <c r="B159" s="58"/>
      <c r="C159" s="59"/>
      <c r="D159" s="59"/>
      <c r="E159" s="60"/>
      <c r="F159" s="60"/>
      <c r="G159" s="61" t="s">
        <v>33</v>
      </c>
      <c r="H159" s="69"/>
      <c r="I159" s="69"/>
      <c r="J159" s="149"/>
      <c r="K159" s="88"/>
      <c r="L159" s="69"/>
      <c r="M159" s="69"/>
      <c r="N159" s="69"/>
      <c r="O159" s="69"/>
      <c r="P159" s="69"/>
      <c r="Q159" s="69"/>
      <c r="R159" s="69"/>
      <c r="S159" s="69"/>
      <c r="T159" s="130">
        <f t="shared" si="65"/>
        <v>0</v>
      </c>
      <c r="U159" s="69"/>
      <c r="V159" s="69"/>
      <c r="W159" s="69"/>
    </row>
    <row r="160" spans="1:23" ht="17.25" hidden="1" customHeight="1" outlineLevel="3">
      <c r="A160" s="48"/>
      <c r="B160" s="58"/>
      <c r="C160" s="59"/>
      <c r="D160" s="59"/>
      <c r="E160" s="60"/>
      <c r="F160" s="60"/>
      <c r="G160" s="61" t="s">
        <v>34</v>
      </c>
      <c r="H160" s="69">
        <v>511</v>
      </c>
      <c r="I160" s="69">
        <v>511</v>
      </c>
      <c r="J160" s="149">
        <v>511</v>
      </c>
      <c r="K160" s="88"/>
      <c r="L160" s="69"/>
      <c r="M160" s="69"/>
      <c r="N160" s="69"/>
      <c r="O160" s="69"/>
      <c r="P160" s="69"/>
      <c r="Q160" s="69"/>
      <c r="R160" s="69"/>
      <c r="S160" s="69"/>
      <c r="T160" s="130">
        <f t="shared" si="65"/>
        <v>1533</v>
      </c>
      <c r="U160" s="69"/>
      <c r="V160" s="69"/>
      <c r="W160" s="69"/>
    </row>
    <row r="161" spans="1:23" ht="17.25" hidden="1" customHeight="1" outlineLevel="3">
      <c r="A161" s="48"/>
      <c r="B161" s="58"/>
      <c r="C161" s="59"/>
      <c r="D161" s="59"/>
      <c r="E161" s="60"/>
      <c r="F161" s="60"/>
      <c r="G161" s="61" t="s">
        <v>35</v>
      </c>
      <c r="H161" s="69">
        <v>1100</v>
      </c>
      <c r="I161" s="69">
        <v>1092</v>
      </c>
      <c r="J161" s="149">
        <v>896</v>
      </c>
      <c r="K161" s="88">
        <v>576</v>
      </c>
      <c r="L161" s="69"/>
      <c r="M161" s="69"/>
      <c r="N161" s="69"/>
      <c r="O161" s="69"/>
      <c r="P161" s="69"/>
      <c r="Q161" s="69"/>
      <c r="R161" s="69"/>
      <c r="S161" s="69"/>
      <c r="T161" s="130">
        <f t="shared" si="65"/>
        <v>3664</v>
      </c>
      <c r="U161" s="69"/>
      <c r="V161" s="69"/>
      <c r="W161" s="69"/>
    </row>
    <row r="162" spans="1:23" ht="17.25" hidden="1" customHeight="1" outlineLevel="3">
      <c r="A162" s="48"/>
      <c r="B162" s="58"/>
      <c r="C162" s="59"/>
      <c r="D162" s="59"/>
      <c r="E162" s="60"/>
      <c r="F162" s="60"/>
      <c r="G162" s="61" t="s">
        <v>36</v>
      </c>
      <c r="H162" s="69">
        <v>699</v>
      </c>
      <c r="I162" s="69">
        <v>699</v>
      </c>
      <c r="J162" s="149">
        <v>677</v>
      </c>
      <c r="K162" s="88">
        <v>700</v>
      </c>
      <c r="L162" s="69"/>
      <c r="M162" s="69"/>
      <c r="N162" s="69"/>
      <c r="O162" s="69"/>
      <c r="P162" s="69"/>
      <c r="Q162" s="69"/>
      <c r="R162" s="69"/>
      <c r="S162" s="69"/>
      <c r="T162" s="130"/>
      <c r="U162" s="69">
        <f>SUM(H162:K162)</f>
        <v>2775</v>
      </c>
      <c r="V162" s="69"/>
      <c r="W162" s="69"/>
    </row>
    <row r="163" spans="1:23" ht="17.25" hidden="1" customHeight="1" outlineLevel="3">
      <c r="A163" s="48"/>
      <c r="B163" s="58"/>
      <c r="C163" s="59"/>
      <c r="D163" s="59"/>
      <c r="E163" s="60"/>
      <c r="F163" s="60"/>
      <c r="G163" s="61" t="s">
        <v>37</v>
      </c>
      <c r="H163" s="69"/>
      <c r="I163" s="69"/>
      <c r="J163" s="149"/>
      <c r="K163" s="88"/>
      <c r="L163" s="69"/>
      <c r="M163" s="69"/>
      <c r="N163" s="69"/>
      <c r="O163" s="69"/>
      <c r="P163" s="69"/>
      <c r="Q163" s="69"/>
      <c r="R163" s="69"/>
      <c r="S163" s="69"/>
      <c r="T163" s="130"/>
      <c r="U163" s="69"/>
      <c r="V163" s="69"/>
      <c r="W163" s="69"/>
    </row>
    <row r="164" spans="1:23" ht="21" customHeight="1" outlineLevel="1">
      <c r="A164" s="19"/>
      <c r="B164" s="39">
        <v>7</v>
      </c>
      <c r="C164" s="70" t="s">
        <v>70</v>
      </c>
      <c r="D164" s="42"/>
      <c r="E164" s="71"/>
      <c r="F164" s="71"/>
      <c r="G164" s="72"/>
      <c r="H164" s="111"/>
      <c r="I164" s="112"/>
      <c r="J164" s="113"/>
      <c r="K164" s="114"/>
      <c r="L164" s="111"/>
      <c r="M164" s="111"/>
      <c r="N164" s="111"/>
      <c r="O164" s="111"/>
      <c r="P164" s="111"/>
      <c r="Q164" s="111"/>
      <c r="R164" s="111"/>
      <c r="S164" s="111"/>
      <c r="T164" s="115">
        <f t="shared" ref="T164:W164" si="66">T165+T176+T181+T168+T169+T170+T171+T172+T173+T174+T175+T180</f>
        <v>28174.076673330506</v>
      </c>
      <c r="U164" s="115">
        <f t="shared" si="66"/>
        <v>0</v>
      </c>
      <c r="V164" s="115">
        <f t="shared" si="66"/>
        <v>21761.076673330506</v>
      </c>
      <c r="W164" s="115">
        <f t="shared" si="66"/>
        <v>0</v>
      </c>
    </row>
    <row r="165" spans="1:23" ht="15.75" customHeight="1" outlineLevel="2">
      <c r="A165" s="48"/>
      <c r="B165" s="49">
        <v>7.1</v>
      </c>
      <c r="C165" s="329" t="s">
        <v>71</v>
      </c>
      <c r="D165" s="330"/>
      <c r="E165" s="50">
        <v>45627</v>
      </c>
      <c r="F165" s="50">
        <v>45746</v>
      </c>
      <c r="G165" s="135"/>
      <c r="H165" s="150"/>
      <c r="I165" s="150"/>
      <c r="J165" s="161"/>
      <c r="K165" s="162"/>
      <c r="L165" s="163"/>
      <c r="M165" s="150"/>
      <c r="N165" s="150"/>
      <c r="O165" s="150"/>
      <c r="P165" s="150"/>
      <c r="Q165" s="150"/>
      <c r="R165" s="150"/>
      <c r="S165" s="150"/>
      <c r="T165" s="164">
        <f t="shared" ref="T165:W165" si="67">SUM(T166:T167)</f>
        <v>5611</v>
      </c>
      <c r="U165" s="164">
        <f t="shared" si="67"/>
        <v>0</v>
      </c>
      <c r="V165" s="164">
        <f t="shared" si="67"/>
        <v>0</v>
      </c>
      <c r="W165" s="164">
        <f t="shared" si="67"/>
        <v>0</v>
      </c>
    </row>
    <row r="166" spans="1:23" ht="17.25" customHeight="1" outlineLevel="3">
      <c r="A166" s="48"/>
      <c r="B166" s="58"/>
      <c r="C166" s="59"/>
      <c r="D166" s="59"/>
      <c r="E166" s="60"/>
      <c r="F166" s="60"/>
      <c r="G166" s="61" t="s">
        <v>35</v>
      </c>
      <c r="H166" s="69">
        <v>827</v>
      </c>
      <c r="I166" s="69">
        <v>1097</v>
      </c>
      <c r="J166" s="149">
        <v>711</v>
      </c>
      <c r="K166" s="88"/>
      <c r="L166" s="69"/>
      <c r="M166" s="69"/>
      <c r="N166" s="69"/>
      <c r="O166" s="69"/>
      <c r="P166" s="69"/>
      <c r="Q166" s="69"/>
      <c r="R166" s="69"/>
      <c r="S166" s="69"/>
      <c r="T166" s="130">
        <f t="shared" ref="T166:T167" si="68">SUM(H166:K166)</f>
        <v>2635</v>
      </c>
      <c r="U166" s="69"/>
      <c r="V166" s="69">
        <f t="shared" ref="V166:V175" si="69">SUM(L166:S166)</f>
        <v>0</v>
      </c>
      <c r="W166" s="69"/>
    </row>
    <row r="167" spans="1:23" ht="17.25" customHeight="1" outlineLevel="3">
      <c r="A167" s="48"/>
      <c r="B167" s="58"/>
      <c r="C167" s="59"/>
      <c r="D167" s="59"/>
      <c r="E167" s="60"/>
      <c r="F167" s="60"/>
      <c r="G167" s="61" t="s">
        <v>36</v>
      </c>
      <c r="H167" s="69">
        <v>1156</v>
      </c>
      <c r="I167" s="69">
        <v>1301</v>
      </c>
      <c r="J167" s="149">
        <v>519</v>
      </c>
      <c r="K167" s="88"/>
      <c r="L167" s="69"/>
      <c r="M167" s="69"/>
      <c r="N167" s="69"/>
      <c r="O167" s="69"/>
      <c r="P167" s="69"/>
      <c r="Q167" s="69"/>
      <c r="R167" s="69"/>
      <c r="S167" s="69"/>
      <c r="T167" s="130">
        <f t="shared" si="68"/>
        <v>2976</v>
      </c>
      <c r="U167" s="69"/>
      <c r="V167" s="69">
        <f t="shared" si="69"/>
        <v>0</v>
      </c>
      <c r="W167" s="69"/>
    </row>
    <row r="168" spans="1:23" ht="15.75" customHeight="1" outlineLevel="2">
      <c r="A168" s="48"/>
      <c r="B168" s="49">
        <v>7.2</v>
      </c>
      <c r="C168" s="329" t="s">
        <v>72</v>
      </c>
      <c r="D168" s="330"/>
      <c r="E168" s="49" t="s">
        <v>73</v>
      </c>
      <c r="F168" s="50"/>
      <c r="G168" s="61"/>
      <c r="H168" s="69"/>
      <c r="I168" s="69"/>
      <c r="J168" s="149"/>
      <c r="K168" s="88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>
        <f t="shared" si="69"/>
        <v>0</v>
      </c>
      <c r="W168" s="69"/>
    </row>
    <row r="169" spans="1:23" ht="15.75" customHeight="1" outlineLevel="2">
      <c r="A169" s="48"/>
      <c r="B169" s="49">
        <v>7.3</v>
      </c>
      <c r="C169" s="329" t="s">
        <v>74</v>
      </c>
      <c r="D169" s="330"/>
      <c r="E169" s="49" t="s">
        <v>73</v>
      </c>
      <c r="F169" s="50"/>
      <c r="G169" s="61"/>
      <c r="H169" s="69"/>
      <c r="I169" s="69"/>
      <c r="J169" s="149"/>
      <c r="K169" s="88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>
        <f t="shared" si="69"/>
        <v>0</v>
      </c>
      <c r="W169" s="69"/>
    </row>
    <row r="170" spans="1:23" ht="15.75" customHeight="1" outlineLevel="2">
      <c r="A170" s="48"/>
      <c r="B170" s="49">
        <v>7.4</v>
      </c>
      <c r="C170" s="329" t="s">
        <v>75</v>
      </c>
      <c r="D170" s="330"/>
      <c r="E170" s="116">
        <v>45931</v>
      </c>
      <c r="F170" s="50">
        <v>45960</v>
      </c>
      <c r="G170" s="165"/>
      <c r="H170" s="69"/>
      <c r="I170" s="69"/>
      <c r="J170" s="149"/>
      <c r="K170" s="88"/>
      <c r="L170" s="69"/>
      <c r="M170" s="69"/>
      <c r="N170" s="69"/>
      <c r="O170" s="110">
        <v>3381</v>
      </c>
      <c r="P170" s="110">
        <v>2802</v>
      </c>
      <c r="Q170" s="69"/>
      <c r="R170" s="69"/>
      <c r="S170" s="69"/>
      <c r="T170" s="69"/>
      <c r="U170" s="69"/>
      <c r="V170" s="69">
        <f t="shared" si="69"/>
        <v>6183</v>
      </c>
      <c r="W170" s="69"/>
    </row>
    <row r="171" spans="1:23" ht="15.75" customHeight="1" outlineLevel="2">
      <c r="A171" s="48"/>
      <c r="B171" s="49">
        <v>7.5</v>
      </c>
      <c r="C171" s="329" t="s">
        <v>76</v>
      </c>
      <c r="D171" s="330"/>
      <c r="E171" s="166">
        <v>45839</v>
      </c>
      <c r="F171" s="49" t="s">
        <v>77</v>
      </c>
      <c r="G171" s="167"/>
      <c r="H171" s="69"/>
      <c r="I171" s="69"/>
      <c r="J171" s="149"/>
      <c r="K171" s="88"/>
      <c r="L171" s="69"/>
      <c r="M171" s="110">
        <v>1176</v>
      </c>
      <c r="N171" s="110">
        <v>1184</v>
      </c>
      <c r="O171" s="69"/>
      <c r="P171" s="69"/>
      <c r="Q171" s="69"/>
      <c r="R171" s="69"/>
      <c r="S171" s="69"/>
      <c r="T171" s="69"/>
      <c r="U171" s="69"/>
      <c r="V171" s="69">
        <f t="shared" si="69"/>
        <v>2360</v>
      </c>
      <c r="W171" s="69"/>
    </row>
    <row r="172" spans="1:23" ht="15.75" customHeight="1" outlineLevel="2">
      <c r="A172" s="48"/>
      <c r="B172" s="49">
        <v>7.6</v>
      </c>
      <c r="C172" s="331" t="s">
        <v>78</v>
      </c>
      <c r="D172" s="330"/>
      <c r="E172" s="49" t="s">
        <v>73</v>
      </c>
      <c r="F172" s="50"/>
      <c r="G172" s="61"/>
      <c r="H172" s="69"/>
      <c r="I172" s="69"/>
      <c r="J172" s="149"/>
      <c r="K172" s="88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>
        <f t="shared" si="69"/>
        <v>0</v>
      </c>
      <c r="W172" s="69"/>
    </row>
    <row r="173" spans="1:23" ht="15.75" customHeight="1" outlineLevel="2">
      <c r="A173" s="48"/>
      <c r="B173" s="49">
        <v>7.7</v>
      </c>
      <c r="C173" s="331" t="s">
        <v>79</v>
      </c>
      <c r="D173" s="330"/>
      <c r="E173" s="116">
        <v>45901</v>
      </c>
      <c r="F173" s="50">
        <v>45930</v>
      </c>
      <c r="G173" s="165"/>
      <c r="H173" s="69"/>
      <c r="I173" s="69"/>
      <c r="J173" s="149"/>
      <c r="K173" s="88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>
        <f t="shared" si="69"/>
        <v>0</v>
      </c>
      <c r="W173" s="69"/>
    </row>
    <row r="174" spans="1:23" ht="15.75" customHeight="1" outlineLevel="2">
      <c r="A174" s="48"/>
      <c r="B174" s="49">
        <v>7.8</v>
      </c>
      <c r="C174" s="331" t="s">
        <v>80</v>
      </c>
      <c r="D174" s="330"/>
      <c r="E174" s="49" t="s">
        <v>81</v>
      </c>
      <c r="F174" s="49" t="s">
        <v>73</v>
      </c>
      <c r="G174" s="61"/>
      <c r="H174" s="69"/>
      <c r="I174" s="69"/>
      <c r="J174" s="149"/>
      <c r="K174" s="88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>
        <f t="shared" si="69"/>
        <v>0</v>
      </c>
      <c r="W174" s="69"/>
    </row>
    <row r="175" spans="1:23" ht="15.75" customHeight="1" outlineLevel="2">
      <c r="A175" s="48"/>
      <c r="B175" s="49">
        <v>7.9</v>
      </c>
      <c r="C175" s="329" t="s">
        <v>82</v>
      </c>
      <c r="D175" s="330"/>
      <c r="E175" s="49" t="s">
        <v>81</v>
      </c>
      <c r="F175" s="49" t="s">
        <v>73</v>
      </c>
      <c r="G175" s="61"/>
      <c r="H175" s="69"/>
      <c r="I175" s="69"/>
      <c r="J175" s="149"/>
      <c r="K175" s="88"/>
      <c r="L175" s="69"/>
      <c r="M175" s="69"/>
      <c r="N175" s="69"/>
      <c r="O175" s="110">
        <v>5113</v>
      </c>
      <c r="P175" s="110">
        <v>4117</v>
      </c>
      <c r="Q175" s="69"/>
      <c r="R175" s="69"/>
      <c r="S175" s="69"/>
      <c r="T175" s="69"/>
      <c r="U175" s="69"/>
      <c r="V175" s="69">
        <f t="shared" si="69"/>
        <v>9230</v>
      </c>
      <c r="W175" s="69"/>
    </row>
    <row r="176" spans="1:23" ht="15.75" customHeight="1" outlineLevel="2">
      <c r="A176" s="48"/>
      <c r="B176" s="168" t="s">
        <v>83</v>
      </c>
      <c r="C176" s="332" t="s">
        <v>84</v>
      </c>
      <c r="D176" s="330"/>
      <c r="E176" s="50">
        <v>45658</v>
      </c>
      <c r="F176" s="50">
        <v>46021</v>
      </c>
      <c r="G176" s="135"/>
      <c r="H176" s="57"/>
      <c r="I176" s="57"/>
      <c r="J176" s="169"/>
      <c r="K176" s="170"/>
      <c r="L176" s="57"/>
      <c r="M176" s="57"/>
      <c r="N176" s="57"/>
      <c r="O176" s="57"/>
      <c r="P176" s="57"/>
      <c r="Q176" s="57"/>
      <c r="R176" s="57"/>
      <c r="S176" s="57"/>
      <c r="T176" s="57">
        <f t="shared" ref="T176:W176" si="70">SUM(T177:T179)</f>
        <v>10634.076673330504</v>
      </c>
      <c r="U176" s="57">
        <f t="shared" si="70"/>
        <v>0</v>
      </c>
      <c r="V176" s="57">
        <f t="shared" si="70"/>
        <v>3988.0766733305045</v>
      </c>
      <c r="W176" s="57">
        <f t="shared" si="70"/>
        <v>0</v>
      </c>
    </row>
    <row r="177" spans="1:23" ht="17.25" customHeight="1" outlineLevel="3">
      <c r="A177" s="48"/>
      <c r="B177" s="58"/>
      <c r="C177" s="59"/>
      <c r="D177" s="59"/>
      <c r="E177" s="60"/>
      <c r="F177" s="60"/>
      <c r="G177" s="61" t="s">
        <v>32</v>
      </c>
      <c r="H177" s="69"/>
      <c r="I177" s="69"/>
      <c r="J177" s="149">
        <v>1994.0383366652522</v>
      </c>
      <c r="K177" s="88">
        <v>1994.0383366652522</v>
      </c>
      <c r="L177" s="69">
        <v>1994.0383366652522</v>
      </c>
      <c r="M177" s="69">
        <v>1994.0383366652522</v>
      </c>
      <c r="N177" s="69"/>
      <c r="O177" s="69"/>
      <c r="P177" s="69"/>
      <c r="Q177" s="69"/>
      <c r="R177" s="69"/>
      <c r="S177" s="69"/>
      <c r="T177" s="69">
        <f t="shared" ref="T177:T179" si="71">SUM(H177:K177)</f>
        <v>3988.0766733305045</v>
      </c>
      <c r="U177" s="69"/>
      <c r="V177" s="69">
        <f t="shared" ref="V177:V179" si="72">SUM(L177:S177)</f>
        <v>3988.0766733305045</v>
      </c>
      <c r="W177" s="69"/>
    </row>
    <row r="178" spans="1:23" ht="17.25" customHeight="1" outlineLevel="3">
      <c r="A178" s="48"/>
      <c r="B178" s="58"/>
      <c r="C178" s="59"/>
      <c r="D178" s="59"/>
      <c r="E178" s="60"/>
      <c r="F178" s="60"/>
      <c r="G178" s="61" t="s">
        <v>34</v>
      </c>
      <c r="H178" s="69"/>
      <c r="I178" s="69">
        <v>1790</v>
      </c>
      <c r="J178" s="149">
        <v>1023</v>
      </c>
      <c r="K178" s="88"/>
      <c r="L178" s="69"/>
      <c r="M178" s="69"/>
      <c r="N178" s="69"/>
      <c r="O178" s="69"/>
      <c r="P178" s="69"/>
      <c r="Q178" s="69"/>
      <c r="R178" s="69"/>
      <c r="S178" s="69"/>
      <c r="T178" s="69">
        <f t="shared" si="71"/>
        <v>2813</v>
      </c>
      <c r="U178" s="69"/>
      <c r="V178" s="69">
        <f t="shared" si="72"/>
        <v>0</v>
      </c>
      <c r="W178" s="69"/>
    </row>
    <row r="179" spans="1:23" ht="15.75" customHeight="1" outlineLevel="3">
      <c r="A179" s="48"/>
      <c r="B179" s="168"/>
      <c r="C179" s="59"/>
      <c r="D179" s="59"/>
      <c r="E179" s="49"/>
      <c r="F179" s="49"/>
      <c r="G179" s="61" t="s">
        <v>85</v>
      </c>
      <c r="H179" s="69">
        <v>1315</v>
      </c>
      <c r="I179" s="69">
        <v>730</v>
      </c>
      <c r="J179" s="149">
        <v>1788</v>
      </c>
      <c r="K179" s="88"/>
      <c r="L179" s="69"/>
      <c r="M179" s="69"/>
      <c r="N179" s="69"/>
      <c r="O179" s="69"/>
      <c r="P179" s="69"/>
      <c r="Q179" s="69"/>
      <c r="R179" s="69"/>
      <c r="S179" s="69"/>
      <c r="T179" s="69">
        <f t="shared" si="71"/>
        <v>3833</v>
      </c>
      <c r="U179" s="69"/>
      <c r="V179" s="69">
        <f t="shared" si="72"/>
        <v>0</v>
      </c>
      <c r="W179" s="171"/>
    </row>
    <row r="180" spans="1:23" ht="15.75" customHeight="1" outlineLevel="2">
      <c r="A180" s="48"/>
      <c r="B180" s="168" t="s">
        <v>86</v>
      </c>
      <c r="C180" s="332" t="s">
        <v>87</v>
      </c>
      <c r="D180" s="330"/>
      <c r="E180" s="49" t="s">
        <v>81</v>
      </c>
      <c r="F180" s="49" t="s">
        <v>73</v>
      </c>
      <c r="G180" s="61"/>
      <c r="H180" s="69"/>
      <c r="I180" s="69"/>
      <c r="J180" s="149"/>
      <c r="K180" s="88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171"/>
    </row>
    <row r="181" spans="1:23" ht="15.75" customHeight="1" outlineLevel="2">
      <c r="A181" s="48"/>
      <c r="B181" s="168" t="s">
        <v>88</v>
      </c>
      <c r="C181" s="332" t="s">
        <v>89</v>
      </c>
      <c r="D181" s="330"/>
      <c r="E181" s="116">
        <v>45658</v>
      </c>
      <c r="F181" s="116">
        <v>45746</v>
      </c>
      <c r="G181" s="172"/>
      <c r="H181" s="57"/>
      <c r="I181" s="57"/>
      <c r="J181" s="169"/>
      <c r="K181" s="170"/>
      <c r="L181" s="57"/>
      <c r="M181" s="57"/>
      <c r="N181" s="57"/>
      <c r="O181" s="57"/>
      <c r="P181" s="57"/>
      <c r="Q181" s="57"/>
      <c r="R181" s="57"/>
      <c r="S181" s="57"/>
      <c r="T181" s="57">
        <f t="shared" ref="T181:W181" si="73">SUM(T182:T187)</f>
        <v>11929</v>
      </c>
      <c r="U181" s="57">
        <f t="shared" si="73"/>
        <v>0</v>
      </c>
      <c r="V181" s="57">
        <f t="shared" si="73"/>
        <v>0</v>
      </c>
      <c r="W181" s="57">
        <f t="shared" si="73"/>
        <v>0</v>
      </c>
    </row>
    <row r="182" spans="1:23" ht="17.25" customHeight="1" outlineLevel="3">
      <c r="A182" s="48"/>
      <c r="B182" s="58"/>
      <c r="C182" s="59"/>
      <c r="D182" s="59"/>
      <c r="E182" s="60"/>
      <c r="F182" s="60"/>
      <c r="G182" s="61" t="s">
        <v>32</v>
      </c>
      <c r="H182" s="69">
        <v>294</v>
      </c>
      <c r="I182" s="69">
        <v>2169</v>
      </c>
      <c r="J182" s="149">
        <v>949</v>
      </c>
      <c r="K182" s="88"/>
      <c r="L182" s="69"/>
      <c r="M182" s="69"/>
      <c r="N182" s="69"/>
      <c r="O182" s="69"/>
      <c r="P182" s="69"/>
      <c r="Q182" s="69"/>
      <c r="R182" s="69"/>
      <c r="S182" s="69"/>
      <c r="T182" s="130">
        <f t="shared" ref="T182:T187" si="74">SUM(H182:K182)</f>
        <v>3412</v>
      </c>
      <c r="U182" s="69"/>
      <c r="V182" s="69">
        <f>SUM(L182:S182)</f>
        <v>0</v>
      </c>
      <c r="W182" s="69"/>
    </row>
    <row r="183" spans="1:23" ht="17.25" customHeight="1" outlineLevel="3">
      <c r="A183" s="48"/>
      <c r="B183" s="58"/>
      <c r="C183" s="59"/>
      <c r="D183" s="59"/>
      <c r="E183" s="60"/>
      <c r="F183" s="60"/>
      <c r="G183" s="61" t="s">
        <v>33</v>
      </c>
      <c r="H183" s="69"/>
      <c r="I183" s="69"/>
      <c r="J183" s="149"/>
      <c r="K183" s="88"/>
      <c r="L183" s="69"/>
      <c r="M183" s="69"/>
      <c r="N183" s="69"/>
      <c r="O183" s="69"/>
      <c r="P183" s="69"/>
      <c r="Q183" s="69"/>
      <c r="R183" s="69"/>
      <c r="S183" s="69"/>
      <c r="T183" s="130">
        <f t="shared" si="74"/>
        <v>0</v>
      </c>
      <c r="U183" s="69"/>
      <c r="V183" s="69"/>
      <c r="W183" s="69"/>
    </row>
    <row r="184" spans="1:23" ht="17.25" customHeight="1" outlineLevel="3">
      <c r="A184" s="48"/>
      <c r="B184" s="58"/>
      <c r="C184" s="59"/>
      <c r="D184" s="59"/>
      <c r="E184" s="60"/>
      <c r="F184" s="60"/>
      <c r="G184" s="61" t="s">
        <v>34</v>
      </c>
      <c r="H184" s="69">
        <v>146</v>
      </c>
      <c r="I184" s="69">
        <v>1604</v>
      </c>
      <c r="J184" s="149">
        <v>1118</v>
      </c>
      <c r="K184" s="88"/>
      <c r="L184" s="69"/>
      <c r="M184" s="69"/>
      <c r="N184" s="69"/>
      <c r="O184" s="69"/>
      <c r="P184" s="69"/>
      <c r="Q184" s="69"/>
      <c r="R184" s="69"/>
      <c r="S184" s="69"/>
      <c r="T184" s="130">
        <f t="shared" si="74"/>
        <v>2868</v>
      </c>
      <c r="U184" s="69"/>
      <c r="V184" s="69"/>
      <c r="W184" s="69"/>
    </row>
    <row r="185" spans="1:23" ht="17.25" customHeight="1" outlineLevel="3">
      <c r="A185" s="48"/>
      <c r="B185" s="58"/>
      <c r="C185" s="59"/>
      <c r="D185" s="59"/>
      <c r="E185" s="60"/>
      <c r="F185" s="60"/>
      <c r="G185" s="61" t="s">
        <v>35</v>
      </c>
      <c r="H185" s="69"/>
      <c r="I185" s="69">
        <v>2093</v>
      </c>
      <c r="J185" s="149">
        <v>2534</v>
      </c>
      <c r="K185" s="88"/>
      <c r="L185" s="69"/>
      <c r="M185" s="69"/>
      <c r="N185" s="69"/>
      <c r="O185" s="69"/>
      <c r="P185" s="69"/>
      <c r="Q185" s="69"/>
      <c r="R185" s="69"/>
      <c r="S185" s="69"/>
      <c r="T185" s="130">
        <f t="shared" si="74"/>
        <v>4627</v>
      </c>
      <c r="U185" s="69"/>
      <c r="V185" s="69"/>
      <c r="W185" s="69"/>
    </row>
    <row r="186" spans="1:23" ht="17.25" customHeight="1" outlineLevel="3">
      <c r="A186" s="48"/>
      <c r="B186" s="58"/>
      <c r="C186" s="59"/>
      <c r="D186" s="59"/>
      <c r="E186" s="60"/>
      <c r="F186" s="60"/>
      <c r="G186" s="61" t="s">
        <v>36</v>
      </c>
      <c r="H186" s="69"/>
      <c r="I186" s="69"/>
      <c r="J186" s="149"/>
      <c r="K186" s="88"/>
      <c r="L186" s="69"/>
      <c r="M186" s="69"/>
      <c r="N186" s="69"/>
      <c r="O186" s="69"/>
      <c r="P186" s="69"/>
      <c r="Q186" s="69"/>
      <c r="R186" s="69"/>
      <c r="S186" s="69"/>
      <c r="T186" s="130">
        <f t="shared" si="74"/>
        <v>0</v>
      </c>
      <c r="U186" s="69"/>
      <c r="V186" s="69"/>
      <c r="W186" s="69"/>
    </row>
    <row r="187" spans="1:23" ht="17.25" customHeight="1" outlineLevel="3">
      <c r="A187" s="48"/>
      <c r="B187" s="58"/>
      <c r="C187" s="59"/>
      <c r="D187" s="59"/>
      <c r="E187" s="60"/>
      <c r="F187" s="60"/>
      <c r="G187" s="61" t="s">
        <v>90</v>
      </c>
      <c r="H187" s="69"/>
      <c r="I187" s="69">
        <v>511</v>
      </c>
      <c r="J187" s="149">
        <v>511</v>
      </c>
      <c r="K187" s="88"/>
      <c r="L187" s="69"/>
      <c r="M187" s="69"/>
      <c r="N187" s="69"/>
      <c r="O187" s="69"/>
      <c r="P187" s="69"/>
      <c r="Q187" s="69"/>
      <c r="R187" s="69"/>
      <c r="S187" s="69"/>
      <c r="T187" s="130">
        <f t="shared" si="74"/>
        <v>1022</v>
      </c>
      <c r="U187" s="69"/>
      <c r="V187" s="69"/>
      <c r="W187" s="69"/>
    </row>
    <row r="188" spans="1:23" ht="21" customHeight="1" outlineLevel="1">
      <c r="A188" s="19"/>
      <c r="B188" s="39" t="s">
        <v>91</v>
      </c>
      <c r="C188" s="70" t="s">
        <v>92</v>
      </c>
      <c r="D188" s="42"/>
      <c r="E188" s="71"/>
      <c r="F188" s="71"/>
      <c r="G188" s="72"/>
      <c r="H188" s="111"/>
      <c r="I188" s="112"/>
      <c r="J188" s="113"/>
      <c r="K188" s="114"/>
      <c r="L188" s="111"/>
      <c r="M188" s="111"/>
      <c r="N188" s="111"/>
      <c r="O188" s="111"/>
      <c r="P188" s="111"/>
      <c r="Q188" s="111"/>
      <c r="R188" s="111"/>
      <c r="S188" s="111"/>
      <c r="T188" s="115">
        <f t="shared" ref="T188:W188" si="75">SUM(T189:T190)</f>
        <v>3598</v>
      </c>
      <c r="U188" s="115">
        <f t="shared" si="75"/>
        <v>0</v>
      </c>
      <c r="V188" s="115">
        <f t="shared" si="75"/>
        <v>21400</v>
      </c>
      <c r="W188" s="115">
        <f t="shared" si="75"/>
        <v>0</v>
      </c>
    </row>
    <row r="189" spans="1:23" ht="15.75" customHeight="1" outlineLevel="2">
      <c r="A189" s="48"/>
      <c r="B189" s="168"/>
      <c r="C189" s="332" t="s">
        <v>93</v>
      </c>
      <c r="D189" s="330"/>
      <c r="E189" s="50">
        <v>45689</v>
      </c>
      <c r="F189" s="50">
        <v>45716</v>
      </c>
      <c r="G189" s="61"/>
      <c r="H189" s="69"/>
      <c r="I189" s="69">
        <v>455</v>
      </c>
      <c r="J189" s="149"/>
      <c r="K189" s="88"/>
      <c r="L189" s="69"/>
      <c r="M189" s="69"/>
      <c r="N189" s="69"/>
      <c r="O189" s="69"/>
      <c r="P189" s="69"/>
      <c r="Q189" s="69"/>
      <c r="R189" s="69"/>
      <c r="S189" s="69"/>
      <c r="T189" s="69">
        <f t="shared" ref="T189:T190" si="76">SUM(H189:K189)</f>
        <v>455</v>
      </c>
      <c r="U189" s="69"/>
      <c r="V189" s="69">
        <f t="shared" ref="V189:V190" si="77">SUM(L189:S189)</f>
        <v>0</v>
      </c>
      <c r="W189" s="69"/>
    </row>
    <row r="190" spans="1:23" ht="15.75" customHeight="1" outlineLevel="2">
      <c r="A190" s="48"/>
      <c r="B190" s="168"/>
      <c r="C190" s="332" t="s">
        <v>94</v>
      </c>
      <c r="D190" s="330"/>
      <c r="E190" s="50"/>
      <c r="F190" s="50"/>
      <c r="G190" s="61"/>
      <c r="H190" s="69">
        <v>307</v>
      </c>
      <c r="I190" s="69">
        <v>1533</v>
      </c>
      <c r="J190" s="149">
        <v>204</v>
      </c>
      <c r="K190" s="88">
        <v>1099</v>
      </c>
      <c r="L190" s="69">
        <v>2675</v>
      </c>
      <c r="M190" s="69">
        <v>2675</v>
      </c>
      <c r="N190" s="69">
        <v>2675</v>
      </c>
      <c r="O190" s="69">
        <v>2675</v>
      </c>
      <c r="P190" s="69">
        <v>2675</v>
      </c>
      <c r="Q190" s="69">
        <v>2675</v>
      </c>
      <c r="R190" s="69">
        <v>2675</v>
      </c>
      <c r="S190" s="69">
        <v>2675</v>
      </c>
      <c r="T190" s="69">
        <f t="shared" si="76"/>
        <v>3143</v>
      </c>
      <c r="U190" s="69"/>
      <c r="V190" s="69">
        <f t="shared" si="77"/>
        <v>21400</v>
      </c>
      <c r="W190" s="69"/>
    </row>
    <row r="191" spans="1:23" ht="21" customHeight="1" collapsed="1">
      <c r="A191" s="19"/>
      <c r="B191" s="31">
        <v>8</v>
      </c>
      <c r="C191" s="32" t="s">
        <v>95</v>
      </c>
      <c r="D191" s="33"/>
      <c r="E191" s="33"/>
      <c r="F191" s="33"/>
      <c r="G191" s="173"/>
      <c r="H191" s="173"/>
      <c r="I191" s="173"/>
      <c r="J191" s="173"/>
      <c r="K191" s="174"/>
      <c r="L191" s="173"/>
      <c r="M191" s="173"/>
      <c r="N191" s="173"/>
      <c r="O191" s="173"/>
      <c r="P191" s="173"/>
      <c r="Q191" s="173"/>
      <c r="R191" s="173"/>
      <c r="S191" s="173"/>
      <c r="T191" s="175">
        <f>SUM(T192:T208)</f>
        <v>0</v>
      </c>
      <c r="U191" s="175">
        <f t="shared" ref="U191:W191" si="78">U192+U197+U201+U205+U206+U207+U208</f>
        <v>122071</v>
      </c>
      <c r="V191" s="175">
        <f t="shared" si="78"/>
        <v>0</v>
      </c>
      <c r="W191" s="175">
        <f t="shared" si="78"/>
        <v>214224</v>
      </c>
    </row>
    <row r="192" spans="1:23" ht="15.75" hidden="1" customHeight="1" outlineLevel="1">
      <c r="A192" s="48"/>
      <c r="B192" s="49">
        <v>8.1</v>
      </c>
      <c r="C192" s="329" t="s">
        <v>96</v>
      </c>
      <c r="D192" s="330"/>
      <c r="E192" s="50">
        <v>45658</v>
      </c>
      <c r="F192" s="50">
        <v>46021</v>
      </c>
      <c r="G192" s="135"/>
      <c r="H192" s="57"/>
      <c r="I192" s="57"/>
      <c r="J192" s="169"/>
      <c r="K192" s="170"/>
      <c r="L192" s="57"/>
      <c r="M192" s="57"/>
      <c r="N192" s="57"/>
      <c r="O192" s="57"/>
      <c r="P192" s="57"/>
      <c r="Q192" s="57"/>
      <c r="R192" s="57"/>
      <c r="S192" s="57"/>
      <c r="T192" s="57"/>
      <c r="U192" s="57">
        <f>SUM(U193:U196)</f>
        <v>50712</v>
      </c>
      <c r="V192" s="57"/>
      <c r="W192" s="57">
        <f>SUM(W193:W196)</f>
        <v>122224</v>
      </c>
    </row>
    <row r="193" spans="1:23" ht="17.25" hidden="1" customHeight="1" outlineLevel="2">
      <c r="A193" s="48"/>
      <c r="B193" s="58"/>
      <c r="C193" s="59"/>
      <c r="D193" s="59"/>
      <c r="E193" s="60"/>
      <c r="F193" s="60"/>
      <c r="G193" s="61" t="s">
        <v>33</v>
      </c>
      <c r="H193" s="69"/>
      <c r="I193" s="69"/>
      <c r="J193" s="149"/>
      <c r="K193" s="88"/>
      <c r="L193" s="69">
        <v>5500</v>
      </c>
      <c r="M193" s="69">
        <v>5500</v>
      </c>
      <c r="N193" s="69">
        <v>5500</v>
      </c>
      <c r="O193" s="69">
        <v>5500</v>
      </c>
      <c r="P193" s="69">
        <v>5500</v>
      </c>
      <c r="Q193" s="69">
        <v>5500</v>
      </c>
      <c r="R193" s="69">
        <v>5500</v>
      </c>
      <c r="S193" s="69">
        <v>5500</v>
      </c>
      <c r="T193" s="69"/>
      <c r="U193" s="69">
        <f t="shared" ref="U193:U196" si="79">SUM(H193:K193)</f>
        <v>0</v>
      </c>
      <c r="V193" s="69"/>
      <c r="W193" s="69">
        <f t="shared" ref="W193:W196" si="80">SUM(L193:S193)</f>
        <v>44000</v>
      </c>
    </row>
    <row r="194" spans="1:23" ht="17.25" hidden="1" customHeight="1" outlineLevel="2">
      <c r="A194" s="48"/>
      <c r="B194" s="58"/>
      <c r="C194" s="59"/>
      <c r="D194" s="59"/>
      <c r="E194" s="60"/>
      <c r="F194" s="60"/>
      <c r="G194" s="61" t="s">
        <v>34</v>
      </c>
      <c r="H194" s="69">
        <v>4044</v>
      </c>
      <c r="I194" s="69">
        <v>5864</v>
      </c>
      <c r="J194" s="149">
        <v>9835</v>
      </c>
      <c r="K194" s="88">
        <v>3628</v>
      </c>
      <c r="L194" s="69">
        <v>3500</v>
      </c>
      <c r="M194" s="69">
        <v>3500</v>
      </c>
      <c r="N194" s="69">
        <v>3500</v>
      </c>
      <c r="O194" s="69">
        <v>3500</v>
      </c>
      <c r="P194" s="69">
        <v>3500</v>
      </c>
      <c r="Q194" s="69">
        <v>3500</v>
      </c>
      <c r="R194" s="69">
        <v>3500</v>
      </c>
      <c r="S194" s="69">
        <v>3500</v>
      </c>
      <c r="T194" s="69"/>
      <c r="U194" s="69">
        <f t="shared" si="79"/>
        <v>23371</v>
      </c>
      <c r="V194" s="69"/>
      <c r="W194" s="69">
        <f t="shared" si="80"/>
        <v>28000</v>
      </c>
    </row>
    <row r="195" spans="1:23" ht="15.75" hidden="1" customHeight="1" outlineLevel="2">
      <c r="A195" s="48"/>
      <c r="B195" s="58"/>
      <c r="C195" s="59"/>
      <c r="D195" s="59"/>
      <c r="E195" s="60"/>
      <c r="F195" s="60"/>
      <c r="G195" s="61" t="s">
        <v>85</v>
      </c>
      <c r="H195" s="69">
        <v>3557</v>
      </c>
      <c r="I195" s="69">
        <v>3303</v>
      </c>
      <c r="J195" s="149">
        <v>6880</v>
      </c>
      <c r="K195" s="88">
        <v>7721</v>
      </c>
      <c r="L195" s="69">
        <v>5000</v>
      </c>
      <c r="M195" s="69">
        <v>5000</v>
      </c>
      <c r="N195" s="69">
        <v>5000</v>
      </c>
      <c r="O195" s="69">
        <v>5000</v>
      </c>
      <c r="P195" s="69">
        <v>5000</v>
      </c>
      <c r="Q195" s="69">
        <v>5000</v>
      </c>
      <c r="R195" s="69">
        <v>5000</v>
      </c>
      <c r="S195" s="69">
        <v>5000</v>
      </c>
      <c r="T195" s="69"/>
      <c r="U195" s="69">
        <f t="shared" si="79"/>
        <v>21461</v>
      </c>
      <c r="V195" s="69"/>
      <c r="W195" s="69">
        <f t="shared" si="80"/>
        <v>40000</v>
      </c>
    </row>
    <row r="196" spans="1:23" ht="15.75" hidden="1" customHeight="1" outlineLevel="2">
      <c r="A196" s="48"/>
      <c r="B196" s="58"/>
      <c r="C196" s="59"/>
      <c r="D196" s="59"/>
      <c r="E196" s="60"/>
      <c r="F196" s="60"/>
      <c r="G196" s="61" t="s">
        <v>97</v>
      </c>
      <c r="H196" s="69">
        <v>1534</v>
      </c>
      <c r="I196" s="69">
        <v>1534</v>
      </c>
      <c r="J196" s="149">
        <v>1534</v>
      </c>
      <c r="K196" s="88">
        <v>1278</v>
      </c>
      <c r="L196" s="69">
        <v>1278</v>
      </c>
      <c r="M196" s="69">
        <v>1278</v>
      </c>
      <c r="N196" s="69">
        <v>1278</v>
      </c>
      <c r="O196" s="69">
        <v>1278</v>
      </c>
      <c r="P196" s="69">
        <v>1278</v>
      </c>
      <c r="Q196" s="69">
        <v>1278</v>
      </c>
      <c r="R196" s="69">
        <v>1278</v>
      </c>
      <c r="S196" s="69">
        <v>1278</v>
      </c>
      <c r="T196" s="69"/>
      <c r="U196" s="69">
        <f t="shared" si="79"/>
        <v>5880</v>
      </c>
      <c r="V196" s="69"/>
      <c r="W196" s="69">
        <f t="shared" si="80"/>
        <v>10224</v>
      </c>
    </row>
    <row r="197" spans="1:23" ht="15.75" hidden="1" customHeight="1" outlineLevel="1">
      <c r="A197" s="48"/>
      <c r="B197" s="49">
        <v>8.1999999999999993</v>
      </c>
      <c r="C197" s="329" t="s">
        <v>98</v>
      </c>
      <c r="D197" s="330"/>
      <c r="E197" s="50">
        <v>45658</v>
      </c>
      <c r="F197" s="50">
        <v>46021</v>
      </c>
      <c r="G197" s="135"/>
      <c r="H197" s="57"/>
      <c r="I197" s="57"/>
      <c r="J197" s="169"/>
      <c r="K197" s="170"/>
      <c r="L197" s="57"/>
      <c r="M197" s="57"/>
      <c r="N197" s="57"/>
      <c r="O197" s="57"/>
      <c r="P197" s="57"/>
      <c r="Q197" s="57"/>
      <c r="R197" s="57"/>
      <c r="S197" s="57"/>
      <c r="T197" s="57"/>
      <c r="U197" s="57">
        <f>SUM(U198:U200)</f>
        <v>5625</v>
      </c>
      <c r="V197" s="57"/>
      <c r="W197" s="57">
        <f>SUM(W198:W200)</f>
        <v>0</v>
      </c>
    </row>
    <row r="198" spans="1:23" ht="15.75" hidden="1" customHeight="1" outlineLevel="2">
      <c r="A198" s="48"/>
      <c r="B198" s="58"/>
      <c r="C198" s="59"/>
      <c r="D198" s="59"/>
      <c r="E198" s="60"/>
      <c r="F198" s="60"/>
      <c r="G198" s="61" t="s">
        <v>33</v>
      </c>
      <c r="H198" s="69"/>
      <c r="I198" s="69"/>
      <c r="J198" s="149"/>
      <c r="K198" s="88"/>
      <c r="L198" s="69"/>
      <c r="M198" s="69"/>
      <c r="N198" s="69"/>
      <c r="O198" s="69"/>
      <c r="P198" s="69"/>
      <c r="Q198" s="69"/>
      <c r="R198" s="69"/>
      <c r="S198" s="69"/>
      <c r="T198" s="69"/>
      <c r="U198" s="69">
        <f t="shared" ref="U198:U200" si="81">SUM(H198:K198)</f>
        <v>0</v>
      </c>
      <c r="V198" s="69"/>
      <c r="W198" s="176"/>
    </row>
    <row r="199" spans="1:23" ht="15.75" hidden="1" customHeight="1" outlineLevel="2">
      <c r="A199" s="48"/>
      <c r="B199" s="58"/>
      <c r="C199" s="59"/>
      <c r="D199" s="59"/>
      <c r="E199" s="60"/>
      <c r="F199" s="60"/>
      <c r="G199" s="61" t="s">
        <v>34</v>
      </c>
      <c r="H199" s="69">
        <v>1277</v>
      </c>
      <c r="I199" s="69">
        <v>1022</v>
      </c>
      <c r="J199" s="149"/>
      <c r="K199" s="88"/>
      <c r="L199" s="69"/>
      <c r="M199" s="69"/>
      <c r="N199" s="69"/>
      <c r="O199" s="69"/>
      <c r="P199" s="69"/>
      <c r="Q199" s="69"/>
      <c r="R199" s="69"/>
      <c r="S199" s="69"/>
      <c r="T199" s="69"/>
      <c r="U199" s="69">
        <f t="shared" si="81"/>
        <v>2299</v>
      </c>
      <c r="V199" s="69"/>
      <c r="W199" s="176"/>
    </row>
    <row r="200" spans="1:23" ht="15.75" hidden="1" customHeight="1" outlineLevel="2">
      <c r="A200" s="48"/>
      <c r="B200" s="58"/>
      <c r="C200" s="59"/>
      <c r="D200" s="59"/>
      <c r="E200" s="60"/>
      <c r="F200" s="60"/>
      <c r="G200" s="61" t="s">
        <v>85</v>
      </c>
      <c r="H200" s="69">
        <v>758</v>
      </c>
      <c r="I200" s="69">
        <v>767</v>
      </c>
      <c r="J200" s="149"/>
      <c r="K200" s="88">
        <v>1801</v>
      </c>
      <c r="L200" s="69"/>
      <c r="M200" s="69"/>
      <c r="N200" s="69"/>
      <c r="O200" s="69"/>
      <c r="P200" s="69"/>
      <c r="Q200" s="69"/>
      <c r="R200" s="69"/>
      <c r="S200" s="69"/>
      <c r="T200" s="69"/>
      <c r="U200" s="69">
        <f t="shared" si="81"/>
        <v>3326</v>
      </c>
      <c r="V200" s="69"/>
      <c r="W200" s="176"/>
    </row>
    <row r="201" spans="1:23" ht="15.75" hidden="1" customHeight="1" outlineLevel="1">
      <c r="A201" s="48"/>
      <c r="B201" s="49">
        <v>8.3000000000000007</v>
      </c>
      <c r="C201" s="329" t="s">
        <v>99</v>
      </c>
      <c r="D201" s="330"/>
      <c r="E201" s="50">
        <v>45658</v>
      </c>
      <c r="F201" s="50">
        <v>46021</v>
      </c>
      <c r="G201" s="135"/>
      <c r="H201" s="57"/>
      <c r="I201" s="57"/>
      <c r="J201" s="169"/>
      <c r="K201" s="170"/>
      <c r="L201" s="57"/>
      <c r="M201" s="57"/>
      <c r="N201" s="57"/>
      <c r="O201" s="57"/>
      <c r="P201" s="57"/>
      <c r="Q201" s="57"/>
      <c r="R201" s="57"/>
      <c r="S201" s="57"/>
      <c r="T201" s="57"/>
      <c r="U201" s="57">
        <f>SUM(U202:U204)</f>
        <v>2291</v>
      </c>
      <c r="V201" s="57"/>
      <c r="W201" s="57">
        <f>SUM(W202:W204)</f>
        <v>2000</v>
      </c>
    </row>
    <row r="202" spans="1:23" ht="17.25" hidden="1" customHeight="1" outlineLevel="2">
      <c r="A202" s="48"/>
      <c r="B202" s="58"/>
      <c r="C202" s="59"/>
      <c r="D202" s="59"/>
      <c r="E202" s="60"/>
      <c r="F202" s="60"/>
      <c r="G202" s="61" t="s">
        <v>33</v>
      </c>
      <c r="H202" s="69"/>
      <c r="I202" s="69"/>
      <c r="J202" s="149"/>
      <c r="K202" s="88"/>
      <c r="L202" s="69"/>
      <c r="M202" s="69"/>
      <c r="N202" s="69"/>
      <c r="O202" s="69"/>
      <c r="P202" s="69"/>
      <c r="Q202" s="69"/>
      <c r="R202" s="69"/>
      <c r="S202" s="69"/>
      <c r="T202" s="69"/>
      <c r="U202" s="69">
        <f t="shared" ref="U202:U204" si="82">SUM(H202:K202)</f>
        <v>0</v>
      </c>
      <c r="V202" s="69"/>
      <c r="W202" s="69">
        <f t="shared" ref="W202:W208" si="83">SUM(L202:S202)</f>
        <v>0</v>
      </c>
    </row>
    <row r="203" spans="1:23" ht="17.25" hidden="1" customHeight="1" outlineLevel="2">
      <c r="A203" s="48"/>
      <c r="B203" s="58"/>
      <c r="C203" s="59"/>
      <c r="D203" s="59"/>
      <c r="E203" s="60"/>
      <c r="F203" s="60"/>
      <c r="G203" s="61" t="s">
        <v>34</v>
      </c>
      <c r="H203" s="69">
        <v>1255</v>
      </c>
      <c r="I203" s="69">
        <v>276</v>
      </c>
      <c r="J203" s="149"/>
      <c r="K203" s="88"/>
      <c r="L203" s="69"/>
      <c r="M203" s="69"/>
      <c r="N203" s="69">
        <v>500</v>
      </c>
      <c r="O203" s="69"/>
      <c r="P203" s="69">
        <v>500</v>
      </c>
      <c r="Q203" s="69"/>
      <c r="R203" s="69"/>
      <c r="S203" s="69"/>
      <c r="T203" s="69"/>
      <c r="U203" s="69">
        <f t="shared" si="82"/>
        <v>1531</v>
      </c>
      <c r="V203" s="69"/>
      <c r="W203" s="69">
        <f t="shared" si="83"/>
        <v>1000</v>
      </c>
    </row>
    <row r="204" spans="1:23" ht="15.75" hidden="1" customHeight="1" outlineLevel="2">
      <c r="A204" s="48"/>
      <c r="B204" s="58"/>
      <c r="C204" s="59"/>
      <c r="D204" s="59"/>
      <c r="E204" s="60"/>
      <c r="F204" s="60"/>
      <c r="G204" s="61" t="s">
        <v>85</v>
      </c>
      <c r="H204" s="69"/>
      <c r="I204" s="69">
        <v>760</v>
      </c>
      <c r="J204" s="149"/>
      <c r="K204" s="88"/>
      <c r="L204" s="69"/>
      <c r="M204" s="69"/>
      <c r="N204" s="69">
        <v>500</v>
      </c>
      <c r="O204" s="69"/>
      <c r="P204" s="69">
        <v>500</v>
      </c>
      <c r="Q204" s="69"/>
      <c r="R204" s="69"/>
      <c r="S204" s="69"/>
      <c r="T204" s="69"/>
      <c r="U204" s="69">
        <f t="shared" si="82"/>
        <v>760</v>
      </c>
      <c r="V204" s="69"/>
      <c r="W204" s="69">
        <f t="shared" si="83"/>
        <v>1000</v>
      </c>
    </row>
    <row r="205" spans="1:23" ht="15.75" hidden="1" customHeight="1" outlineLevel="1">
      <c r="A205" s="48"/>
      <c r="B205" s="49">
        <v>8.5</v>
      </c>
      <c r="C205" s="332" t="s">
        <v>100</v>
      </c>
      <c r="D205" s="330"/>
      <c r="E205" s="50">
        <v>45797</v>
      </c>
      <c r="F205" s="50">
        <v>46021</v>
      </c>
      <c r="G205" s="177" t="s">
        <v>36</v>
      </c>
      <c r="H205" s="57"/>
      <c r="I205" s="57"/>
      <c r="J205" s="169"/>
      <c r="K205" s="170"/>
      <c r="L205" s="57"/>
      <c r="M205" s="178">
        <v>10000</v>
      </c>
      <c r="N205" s="178">
        <v>10000</v>
      </c>
      <c r="O205" s="178">
        <v>10000</v>
      </c>
      <c r="P205" s="178">
        <v>10000</v>
      </c>
      <c r="Q205" s="178">
        <v>10000</v>
      </c>
      <c r="R205" s="178">
        <v>10000</v>
      </c>
      <c r="S205" s="178">
        <v>10000</v>
      </c>
      <c r="T205" s="57"/>
      <c r="U205" s="57">
        <f>SUM(H205:L205)</f>
        <v>0</v>
      </c>
      <c r="V205" s="57"/>
      <c r="W205" s="57">
        <f t="shared" si="83"/>
        <v>70000</v>
      </c>
    </row>
    <row r="206" spans="1:23" ht="15.75" hidden="1" customHeight="1" outlineLevel="1">
      <c r="A206" s="48"/>
      <c r="B206" s="49">
        <v>8.6</v>
      </c>
      <c r="C206" s="332" t="s">
        <v>101</v>
      </c>
      <c r="D206" s="330"/>
      <c r="E206" s="50">
        <v>45658</v>
      </c>
      <c r="F206" s="50">
        <v>46021</v>
      </c>
      <c r="G206" s="177" t="s">
        <v>36</v>
      </c>
      <c r="H206" s="57">
        <v>15733</v>
      </c>
      <c r="I206" s="57">
        <v>15577</v>
      </c>
      <c r="J206" s="169">
        <v>14035</v>
      </c>
      <c r="K206" s="170">
        <v>16915</v>
      </c>
      <c r="L206" s="57">
        <v>15000</v>
      </c>
      <c r="M206" s="57"/>
      <c r="N206" s="57"/>
      <c r="O206" s="57"/>
      <c r="P206" s="57"/>
      <c r="Q206" s="57"/>
      <c r="R206" s="57"/>
      <c r="S206" s="57"/>
      <c r="T206" s="57"/>
      <c r="U206" s="57">
        <f t="shared" ref="U206:U208" si="84">SUM(H206:K206)</f>
        <v>62260</v>
      </c>
      <c r="V206" s="57"/>
      <c r="W206" s="57">
        <f t="shared" si="83"/>
        <v>15000</v>
      </c>
    </row>
    <row r="207" spans="1:23" ht="15.75" hidden="1" customHeight="1" outlineLevel="1">
      <c r="A207" s="48"/>
      <c r="B207" s="49">
        <v>8.6999999999999993</v>
      </c>
      <c r="C207" s="332" t="s">
        <v>102</v>
      </c>
      <c r="D207" s="330"/>
      <c r="E207" s="50">
        <v>45658</v>
      </c>
      <c r="F207" s="50">
        <v>46021</v>
      </c>
      <c r="G207" s="177" t="s">
        <v>34</v>
      </c>
      <c r="H207" s="57">
        <v>255</v>
      </c>
      <c r="I207" s="57">
        <v>251</v>
      </c>
      <c r="J207" s="169">
        <v>260</v>
      </c>
      <c r="K207" s="170"/>
      <c r="L207" s="57"/>
      <c r="M207" s="57"/>
      <c r="N207" s="57"/>
      <c r="O207" s="57"/>
      <c r="P207" s="57"/>
      <c r="Q207" s="57"/>
      <c r="R207" s="57"/>
      <c r="S207" s="57"/>
      <c r="T207" s="57"/>
      <c r="U207" s="57">
        <f t="shared" si="84"/>
        <v>766</v>
      </c>
      <c r="V207" s="57"/>
      <c r="W207" s="57">
        <f t="shared" si="83"/>
        <v>0</v>
      </c>
    </row>
    <row r="208" spans="1:23" ht="15.75" hidden="1" customHeight="1" outlineLevel="1">
      <c r="A208" s="48"/>
      <c r="B208" s="49">
        <v>8.8000000000000007</v>
      </c>
      <c r="C208" s="332" t="s">
        <v>103</v>
      </c>
      <c r="D208" s="330"/>
      <c r="E208" s="49" t="s">
        <v>81</v>
      </c>
      <c r="F208" s="49" t="s">
        <v>73</v>
      </c>
      <c r="G208" s="177" t="s">
        <v>34</v>
      </c>
      <c r="H208" s="57">
        <v>411</v>
      </c>
      <c r="I208" s="57">
        <v>6</v>
      </c>
      <c r="J208" s="169"/>
      <c r="K208" s="170"/>
      <c r="L208" s="57"/>
      <c r="M208" s="57"/>
      <c r="N208" s="57"/>
      <c r="O208" s="312">
        <v>1000</v>
      </c>
      <c r="P208" s="312">
        <v>1000</v>
      </c>
      <c r="Q208" s="312">
        <v>1000</v>
      </c>
      <c r="R208" s="312">
        <v>1000</v>
      </c>
      <c r="S208" s="312">
        <v>1000</v>
      </c>
      <c r="T208" s="57"/>
      <c r="U208" s="57">
        <f t="shared" si="84"/>
        <v>417</v>
      </c>
      <c r="V208" s="57"/>
      <c r="W208" s="57">
        <f t="shared" si="83"/>
        <v>5000</v>
      </c>
    </row>
    <row r="209" spans="1:23" ht="21" customHeight="1" collapsed="1">
      <c r="A209" s="19"/>
      <c r="B209" s="31">
        <v>9</v>
      </c>
      <c r="C209" s="32" t="s">
        <v>104</v>
      </c>
      <c r="D209" s="33"/>
      <c r="E209" s="33"/>
      <c r="F209" s="33"/>
      <c r="G209" s="173"/>
      <c r="H209" s="34"/>
      <c r="I209" s="35"/>
      <c r="J209" s="36"/>
      <c r="K209" s="37"/>
      <c r="L209" s="34"/>
      <c r="M209" s="34"/>
      <c r="N209" s="34"/>
      <c r="O209" s="34"/>
      <c r="P209" s="34"/>
      <c r="Q209" s="34"/>
      <c r="R209" s="34"/>
      <c r="S209" s="34"/>
      <c r="T209" s="38">
        <f t="shared" ref="T209:W209" si="85">SUM(T210:T217)</f>
        <v>1120</v>
      </c>
      <c r="U209" s="38">
        <f t="shared" si="85"/>
        <v>7230</v>
      </c>
      <c r="V209" s="38">
        <f t="shared" si="85"/>
        <v>950</v>
      </c>
      <c r="W209" s="38">
        <f t="shared" si="85"/>
        <v>64450</v>
      </c>
    </row>
    <row r="210" spans="1:23" ht="15.75" hidden="1" customHeight="1" outlineLevel="1">
      <c r="A210" s="48"/>
      <c r="B210" s="49">
        <v>9.1</v>
      </c>
      <c r="C210" s="329" t="s">
        <v>105</v>
      </c>
      <c r="D210" s="330"/>
      <c r="E210" s="50">
        <v>45717</v>
      </c>
      <c r="F210" s="50">
        <v>45746</v>
      </c>
      <c r="G210" s="177" t="s">
        <v>34</v>
      </c>
      <c r="H210" s="142"/>
      <c r="I210" s="142"/>
      <c r="J210" s="179">
        <v>145</v>
      </c>
      <c r="K210" s="180">
        <v>975</v>
      </c>
      <c r="L210" s="181">
        <v>950</v>
      </c>
      <c r="M210" s="142"/>
      <c r="N210" s="142"/>
      <c r="O210" s="142"/>
      <c r="P210" s="142"/>
      <c r="Q210" s="142"/>
      <c r="R210" s="142"/>
      <c r="S210" s="142"/>
      <c r="T210" s="142">
        <f>SUM(H210:K210)</f>
        <v>1120</v>
      </c>
      <c r="U210" s="142"/>
      <c r="V210" s="142">
        <f>SUM(L210:S210)</f>
        <v>950</v>
      </c>
      <c r="W210" s="142"/>
    </row>
    <row r="211" spans="1:23" ht="15.75" hidden="1" customHeight="1" outlineLevel="1">
      <c r="A211" s="48"/>
      <c r="B211" s="49" t="s">
        <v>106</v>
      </c>
      <c r="C211" s="329" t="s">
        <v>107</v>
      </c>
      <c r="D211" s="330"/>
      <c r="E211" s="50">
        <v>45992</v>
      </c>
      <c r="F211" s="50">
        <v>46021</v>
      </c>
      <c r="G211" s="177" t="s">
        <v>34</v>
      </c>
      <c r="H211" s="142"/>
      <c r="I211" s="142"/>
      <c r="J211" s="179"/>
      <c r="K211" s="180"/>
      <c r="L211" s="181"/>
      <c r="M211" s="142"/>
      <c r="N211" s="142"/>
      <c r="O211" s="142"/>
      <c r="P211" s="142"/>
      <c r="Q211" s="142"/>
      <c r="R211" s="142"/>
      <c r="S211" s="142">
        <v>6000</v>
      </c>
      <c r="T211" s="142"/>
      <c r="U211" s="142">
        <f t="shared" ref="U211:U217" si="86">SUM(H211:K211)</f>
        <v>0</v>
      </c>
      <c r="V211" s="142"/>
      <c r="W211" s="142">
        <f t="shared" ref="W211:W217" si="87">SUM(L211:S211)</f>
        <v>6000</v>
      </c>
    </row>
    <row r="212" spans="1:23" ht="15.75" hidden="1" customHeight="1" outlineLevel="1">
      <c r="A212" s="48"/>
      <c r="B212" s="49">
        <v>9.5</v>
      </c>
      <c r="C212" s="332" t="s">
        <v>108</v>
      </c>
      <c r="D212" s="330"/>
      <c r="E212" s="50"/>
      <c r="F212" s="50"/>
      <c r="G212" s="177" t="s">
        <v>34</v>
      </c>
      <c r="H212" s="142"/>
      <c r="I212" s="142"/>
      <c r="J212" s="179"/>
      <c r="K212" s="180"/>
      <c r="L212" s="181"/>
      <c r="M212" s="313">
        <v>8000</v>
      </c>
      <c r="N212" s="313">
        <v>8000</v>
      </c>
      <c r="O212" s="313">
        <v>8000</v>
      </c>
      <c r="P212" s="313">
        <v>8000</v>
      </c>
      <c r="Q212" s="313">
        <v>8000</v>
      </c>
      <c r="R212" s="313">
        <v>8000</v>
      </c>
      <c r="S212" s="313">
        <v>8000</v>
      </c>
      <c r="T212" s="142"/>
      <c r="U212" s="142">
        <f t="shared" si="86"/>
        <v>0</v>
      </c>
      <c r="V212" s="142"/>
      <c r="W212" s="142">
        <f t="shared" si="87"/>
        <v>56000</v>
      </c>
    </row>
    <row r="213" spans="1:23" ht="15.75" hidden="1" customHeight="1" outlineLevel="1">
      <c r="A213" s="48"/>
      <c r="B213" s="49" t="s">
        <v>109</v>
      </c>
      <c r="C213" s="332" t="s">
        <v>110</v>
      </c>
      <c r="D213" s="330"/>
      <c r="E213" s="50">
        <v>45658</v>
      </c>
      <c r="F213" s="50">
        <v>46021</v>
      </c>
      <c r="G213" s="177" t="s">
        <v>34</v>
      </c>
      <c r="H213" s="142">
        <v>1472</v>
      </c>
      <c r="I213" s="142">
        <v>1141</v>
      </c>
      <c r="J213" s="179">
        <v>1104</v>
      </c>
      <c r="K213" s="180">
        <v>2064</v>
      </c>
      <c r="L213" s="181">
        <v>1900</v>
      </c>
      <c r="M213" s="142"/>
      <c r="N213" s="142"/>
      <c r="O213" s="142"/>
      <c r="P213" s="142"/>
      <c r="Q213" s="142"/>
      <c r="R213" s="142"/>
      <c r="S213" s="142"/>
      <c r="T213" s="142"/>
      <c r="U213" s="142">
        <f t="shared" si="86"/>
        <v>5781</v>
      </c>
      <c r="V213" s="142"/>
      <c r="W213" s="142">
        <f t="shared" si="87"/>
        <v>1900</v>
      </c>
    </row>
    <row r="214" spans="1:23" ht="15.75" hidden="1" customHeight="1" outlineLevel="1">
      <c r="A214" s="48"/>
      <c r="B214" s="49" t="s">
        <v>111</v>
      </c>
      <c r="C214" s="332" t="s">
        <v>112</v>
      </c>
      <c r="D214" s="330"/>
      <c r="E214" s="50">
        <v>45748</v>
      </c>
      <c r="F214" s="50">
        <v>46021</v>
      </c>
      <c r="G214" s="177" t="s">
        <v>34</v>
      </c>
      <c r="H214" s="142"/>
      <c r="I214" s="142"/>
      <c r="J214" s="179">
        <v>765</v>
      </c>
      <c r="K214" s="180">
        <v>684</v>
      </c>
      <c r="L214" s="181">
        <v>550</v>
      </c>
      <c r="M214" s="142"/>
      <c r="N214" s="142"/>
      <c r="O214" s="142"/>
      <c r="P214" s="142"/>
      <c r="Q214" s="142"/>
      <c r="R214" s="142"/>
      <c r="S214" s="142"/>
      <c r="T214" s="142"/>
      <c r="U214" s="142">
        <f t="shared" si="86"/>
        <v>1449</v>
      </c>
      <c r="V214" s="142"/>
      <c r="W214" s="142">
        <f t="shared" si="87"/>
        <v>550</v>
      </c>
    </row>
    <row r="215" spans="1:23" ht="15.75" hidden="1" customHeight="1" outlineLevel="1">
      <c r="A215" s="48"/>
      <c r="B215" s="49" t="s">
        <v>113</v>
      </c>
      <c r="C215" s="333" t="s">
        <v>114</v>
      </c>
      <c r="D215" s="330"/>
      <c r="E215" s="50">
        <v>45809</v>
      </c>
      <c r="F215" s="50">
        <v>45930</v>
      </c>
      <c r="G215" s="135"/>
      <c r="H215" s="142"/>
      <c r="I215" s="142"/>
      <c r="J215" s="179"/>
      <c r="K215" s="180"/>
      <c r="L215" s="181"/>
      <c r="M215" s="142"/>
      <c r="N215" s="142"/>
      <c r="O215" s="142"/>
      <c r="P215" s="142"/>
      <c r="Q215" s="142"/>
      <c r="R215" s="142"/>
      <c r="S215" s="142"/>
      <c r="T215" s="142"/>
      <c r="U215" s="142">
        <f t="shared" si="86"/>
        <v>0</v>
      </c>
      <c r="V215" s="142"/>
      <c r="W215" s="142">
        <f t="shared" si="87"/>
        <v>0</v>
      </c>
    </row>
    <row r="216" spans="1:23" ht="15.75" hidden="1" customHeight="1" outlineLevel="1">
      <c r="A216" s="48"/>
      <c r="B216" s="49" t="s">
        <v>115</v>
      </c>
      <c r="C216" s="331" t="s">
        <v>116</v>
      </c>
      <c r="D216" s="330"/>
      <c r="E216" s="60">
        <v>45901</v>
      </c>
      <c r="F216" s="60">
        <v>46021</v>
      </c>
      <c r="G216" s="135"/>
      <c r="H216" s="142"/>
      <c r="I216" s="142"/>
      <c r="J216" s="179"/>
      <c r="K216" s="180"/>
      <c r="L216" s="181"/>
      <c r="M216" s="142"/>
      <c r="N216" s="142"/>
      <c r="O216" s="142"/>
      <c r="P216" s="142"/>
      <c r="Q216" s="142"/>
      <c r="R216" s="142"/>
      <c r="S216" s="142"/>
      <c r="T216" s="142"/>
      <c r="U216" s="142">
        <f t="shared" si="86"/>
        <v>0</v>
      </c>
      <c r="V216" s="142"/>
      <c r="W216" s="142">
        <f t="shared" si="87"/>
        <v>0</v>
      </c>
    </row>
    <row r="217" spans="1:23" ht="15.75" hidden="1" customHeight="1" outlineLevel="1">
      <c r="A217" s="48"/>
      <c r="B217" s="49" t="s">
        <v>117</v>
      </c>
      <c r="C217" s="333" t="s">
        <v>118</v>
      </c>
      <c r="D217" s="330"/>
      <c r="E217" s="50">
        <v>45658</v>
      </c>
      <c r="F217" s="50">
        <v>46021</v>
      </c>
      <c r="G217" s="135"/>
      <c r="H217" s="142"/>
      <c r="I217" s="142"/>
      <c r="J217" s="179"/>
      <c r="K217" s="182"/>
      <c r="L217" s="181"/>
      <c r="M217" s="142"/>
      <c r="N217" s="142"/>
      <c r="O217" s="142"/>
      <c r="P217" s="142"/>
      <c r="Q217" s="142"/>
      <c r="R217" s="142"/>
      <c r="S217" s="142"/>
      <c r="T217" s="142"/>
      <c r="U217" s="142">
        <f t="shared" si="86"/>
        <v>0</v>
      </c>
      <c r="V217" s="142"/>
      <c r="W217" s="142">
        <f t="shared" si="87"/>
        <v>0</v>
      </c>
    </row>
    <row r="218" spans="1:23" ht="15.75" customHeight="1">
      <c r="A218" s="48"/>
      <c r="B218" s="58"/>
      <c r="C218" s="123"/>
      <c r="D218" s="123"/>
      <c r="E218" s="60"/>
      <c r="F218" s="60"/>
      <c r="G218" s="60"/>
      <c r="H218" s="183"/>
      <c r="I218" s="184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48"/>
      <c r="U218" s="48"/>
      <c r="V218" s="48"/>
      <c r="W218" s="48"/>
    </row>
    <row r="219" spans="1:23" ht="15.75" customHeight="1">
      <c r="A219" s="48"/>
      <c r="B219" s="58"/>
      <c r="C219" s="123"/>
      <c r="D219" s="123"/>
      <c r="E219" s="60"/>
      <c r="F219" s="60"/>
      <c r="G219" s="60"/>
      <c r="H219" s="183"/>
      <c r="I219" s="184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48"/>
      <c r="U219" s="48"/>
      <c r="V219" s="48"/>
      <c r="W219" s="48"/>
    </row>
    <row r="220" spans="1:23" ht="15.75" customHeight="1">
      <c r="A220" s="48"/>
      <c r="B220" s="58"/>
      <c r="C220" s="123"/>
      <c r="D220" s="123"/>
      <c r="E220" s="60"/>
      <c r="F220" s="60"/>
      <c r="G220" s="60"/>
      <c r="H220" s="183"/>
      <c r="I220" s="184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48"/>
      <c r="U220" s="48"/>
      <c r="V220" s="48"/>
      <c r="W220" s="48"/>
    </row>
    <row r="221" spans="1:23" ht="15.75" customHeight="1">
      <c r="A221" s="48"/>
      <c r="B221" s="58"/>
      <c r="C221" s="123"/>
      <c r="D221" s="123"/>
      <c r="E221" s="60"/>
      <c r="F221" s="60"/>
      <c r="G221" s="60"/>
      <c r="H221" s="183"/>
      <c r="I221" s="184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48"/>
      <c r="U221" s="48"/>
      <c r="V221" s="48"/>
      <c r="W221" s="48"/>
    </row>
    <row r="222" spans="1:23" ht="15.75" customHeight="1">
      <c r="A222" s="48"/>
      <c r="B222" s="58"/>
      <c r="C222" s="123"/>
      <c r="D222" s="123"/>
      <c r="F222" s="123"/>
      <c r="G222" s="60"/>
      <c r="I222" s="123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48"/>
      <c r="U222" s="48"/>
      <c r="V222" s="48"/>
      <c r="W222" s="48"/>
    </row>
    <row r="223" spans="1:23" ht="15.75" customHeight="1">
      <c r="A223" s="48"/>
      <c r="B223" s="58"/>
      <c r="C223" s="186"/>
      <c r="D223" s="186"/>
      <c r="E223" s="60"/>
      <c r="F223" s="58"/>
      <c r="G223" s="60"/>
      <c r="H223" s="183"/>
      <c r="I223" s="184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48"/>
      <c r="U223" s="48"/>
      <c r="V223" s="48"/>
      <c r="W223" s="48"/>
    </row>
    <row r="224" spans="1:23" ht="15.75" customHeight="1">
      <c r="A224" s="48"/>
      <c r="B224" s="58"/>
      <c r="C224" s="123"/>
      <c r="D224" s="123"/>
      <c r="E224" s="60"/>
      <c r="F224" s="58"/>
      <c r="G224" s="60"/>
      <c r="H224" s="183"/>
      <c r="I224" s="184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48"/>
      <c r="U224" s="48"/>
      <c r="V224" s="48"/>
      <c r="W224" s="48"/>
    </row>
    <row r="225" spans="1:23" ht="15.75" customHeight="1">
      <c r="A225" s="48"/>
      <c r="B225" s="58"/>
      <c r="C225" s="123"/>
      <c r="D225" s="123"/>
      <c r="E225" s="60"/>
      <c r="F225" s="58"/>
      <c r="G225" s="60"/>
      <c r="H225" s="183"/>
      <c r="I225" s="184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48"/>
      <c r="U225" s="48"/>
      <c r="V225" s="48"/>
      <c r="W225" s="48"/>
    </row>
    <row r="226" spans="1:23" ht="15.75" customHeight="1">
      <c r="A226" s="48"/>
      <c r="B226" s="58"/>
      <c r="C226" s="123"/>
      <c r="D226" s="123"/>
      <c r="E226" s="60"/>
      <c r="F226" s="58"/>
      <c r="G226" s="60"/>
      <c r="H226" s="183"/>
      <c r="I226" s="184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48"/>
      <c r="U226" s="48"/>
      <c r="V226" s="48"/>
      <c r="W226" s="48"/>
    </row>
    <row r="227" spans="1:23" ht="15.75" customHeight="1">
      <c r="A227" s="48"/>
      <c r="B227" s="58"/>
      <c r="C227" s="123"/>
      <c r="D227" s="123"/>
      <c r="E227" s="60"/>
      <c r="F227" s="58"/>
      <c r="G227" s="60"/>
      <c r="H227" s="183"/>
      <c r="I227" s="184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48"/>
      <c r="U227" s="48"/>
      <c r="V227" s="48"/>
      <c r="W227" s="48"/>
    </row>
    <row r="228" spans="1:23" ht="15.75" customHeight="1">
      <c r="A228" s="48"/>
      <c r="B228" s="58"/>
      <c r="C228" s="123"/>
      <c r="D228" s="123"/>
      <c r="E228" s="60"/>
      <c r="F228" s="58"/>
      <c r="G228" s="60"/>
      <c r="H228" s="183"/>
      <c r="I228" s="184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48"/>
      <c r="U228" s="48"/>
      <c r="V228" s="48"/>
      <c r="W228" s="48"/>
    </row>
    <row r="229" spans="1:23" ht="15.75" customHeight="1">
      <c r="A229" s="48"/>
      <c r="B229" s="58"/>
      <c r="C229" s="123"/>
      <c r="D229" s="123"/>
      <c r="E229" s="60"/>
      <c r="F229" s="60"/>
      <c r="G229" s="60"/>
      <c r="H229" s="183"/>
      <c r="I229" s="184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48"/>
      <c r="U229" s="48"/>
      <c r="V229" s="48"/>
      <c r="W229" s="48"/>
    </row>
    <row r="230" spans="1:23" ht="15.75" customHeight="1">
      <c r="A230" s="48"/>
      <c r="B230" s="58"/>
      <c r="C230" s="123"/>
      <c r="D230" s="123"/>
      <c r="E230" s="60"/>
      <c r="F230" s="60"/>
      <c r="G230" s="60"/>
      <c r="H230" s="183"/>
      <c r="I230" s="184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48"/>
      <c r="U230" s="48"/>
      <c r="V230" s="48"/>
      <c r="W230" s="48"/>
    </row>
    <row r="231" spans="1:23" ht="15.75" customHeight="1">
      <c r="A231" s="48"/>
      <c r="B231" s="58"/>
      <c r="C231" s="123"/>
      <c r="D231" s="123"/>
      <c r="E231" s="60"/>
      <c r="F231" s="60"/>
      <c r="G231" s="60"/>
      <c r="H231" s="183"/>
      <c r="I231" s="184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48"/>
      <c r="U231" s="48"/>
      <c r="V231" s="48"/>
      <c r="W231" s="48"/>
    </row>
    <row r="232" spans="1:23" ht="15.75" customHeight="1">
      <c r="A232" s="48"/>
      <c r="B232" s="58"/>
      <c r="C232" s="123"/>
      <c r="D232" s="123"/>
      <c r="E232" s="60"/>
      <c r="F232" s="60"/>
      <c r="G232" s="60"/>
      <c r="H232" s="183"/>
      <c r="I232" s="184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48"/>
      <c r="U232" s="48"/>
      <c r="V232" s="48"/>
      <c r="W232" s="48"/>
    </row>
    <row r="233" spans="1:23" ht="15.75" customHeight="1">
      <c r="A233" s="48"/>
      <c r="B233" s="58"/>
      <c r="C233" s="123"/>
      <c r="D233" s="123"/>
      <c r="E233" s="60"/>
      <c r="F233" s="60"/>
      <c r="G233" s="60"/>
      <c r="H233" s="183"/>
      <c r="I233" s="184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48"/>
      <c r="U233" s="48"/>
      <c r="V233" s="48"/>
      <c r="W233" s="48"/>
    </row>
    <row r="234" spans="1:23" ht="15.75" customHeight="1">
      <c r="A234" s="48"/>
      <c r="B234" s="58"/>
      <c r="C234" s="123"/>
      <c r="D234" s="123"/>
      <c r="E234" s="60"/>
      <c r="F234" s="60"/>
      <c r="G234" s="60"/>
      <c r="H234" s="183"/>
      <c r="I234" s="184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48"/>
      <c r="U234" s="48"/>
      <c r="V234" s="48"/>
      <c r="W234" s="48"/>
    </row>
    <row r="235" spans="1:23" ht="15.75" customHeight="1">
      <c r="A235" s="48"/>
      <c r="B235" s="58"/>
      <c r="C235" s="123"/>
      <c r="D235" s="123"/>
      <c r="E235" s="60"/>
      <c r="F235" s="60"/>
      <c r="G235" s="60"/>
      <c r="H235" s="183"/>
      <c r="I235" s="184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48"/>
      <c r="U235" s="48"/>
      <c r="V235" s="48"/>
      <c r="W235" s="48"/>
    </row>
    <row r="236" spans="1:23" ht="15.75" customHeight="1">
      <c r="A236" s="48"/>
      <c r="B236" s="58"/>
      <c r="C236" s="123"/>
      <c r="D236" s="123"/>
      <c r="E236" s="60"/>
      <c r="F236" s="60"/>
      <c r="G236" s="60"/>
      <c r="H236" s="183"/>
      <c r="I236" s="184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48"/>
      <c r="U236" s="48"/>
      <c r="V236" s="48"/>
      <c r="W236" s="48"/>
    </row>
    <row r="237" spans="1:23" ht="15.75" customHeight="1">
      <c r="A237" s="48"/>
      <c r="B237" s="58"/>
      <c r="C237" s="123"/>
      <c r="D237" s="123"/>
      <c r="E237" s="60"/>
      <c r="F237" s="60"/>
      <c r="G237" s="60"/>
      <c r="H237" s="183"/>
      <c r="I237" s="184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48"/>
      <c r="U237" s="48"/>
      <c r="V237" s="48"/>
      <c r="W237" s="48"/>
    </row>
    <row r="238" spans="1:23" ht="15.75" customHeight="1">
      <c r="A238" s="48"/>
      <c r="B238" s="58"/>
      <c r="C238" s="123"/>
      <c r="D238" s="123"/>
      <c r="E238" s="60"/>
      <c r="F238" s="60"/>
      <c r="G238" s="60"/>
      <c r="H238" s="183"/>
      <c r="I238" s="184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48"/>
      <c r="U238" s="48"/>
      <c r="V238" s="48"/>
      <c r="W238" s="48"/>
    </row>
    <row r="239" spans="1:23" ht="15.75" customHeight="1">
      <c r="A239" s="48"/>
      <c r="B239" s="58"/>
      <c r="C239" s="123"/>
      <c r="D239" s="123"/>
      <c r="E239" s="60"/>
      <c r="F239" s="60"/>
      <c r="G239" s="60"/>
      <c r="H239" s="183"/>
      <c r="I239" s="184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48"/>
      <c r="U239" s="48"/>
      <c r="V239" s="48"/>
      <c r="W239" s="48"/>
    </row>
    <row r="240" spans="1:23" ht="15.75" customHeight="1">
      <c r="A240" s="48"/>
      <c r="B240" s="58"/>
      <c r="C240" s="123"/>
      <c r="D240" s="123"/>
      <c r="E240" s="60"/>
      <c r="F240" s="60"/>
      <c r="G240" s="60"/>
      <c r="H240" s="183"/>
      <c r="I240" s="184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48"/>
      <c r="U240" s="48"/>
      <c r="V240" s="48"/>
      <c r="W240" s="48"/>
    </row>
    <row r="241" spans="1:23" ht="15.75" customHeight="1">
      <c r="A241" s="48"/>
      <c r="B241" s="58"/>
      <c r="C241" s="123"/>
      <c r="D241" s="123"/>
      <c r="E241" s="60"/>
      <c r="F241" s="60"/>
      <c r="G241" s="60"/>
      <c r="H241" s="183"/>
      <c r="I241" s="184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48"/>
      <c r="U241" s="48"/>
      <c r="V241" s="48"/>
      <c r="W241" s="48"/>
    </row>
    <row r="242" spans="1:23" ht="15.75" customHeight="1">
      <c r="A242" s="48"/>
      <c r="B242" s="58"/>
      <c r="C242" s="123"/>
      <c r="D242" s="123"/>
      <c r="E242" s="60"/>
      <c r="F242" s="60"/>
      <c r="G242" s="60"/>
      <c r="H242" s="183"/>
      <c r="I242" s="184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48"/>
      <c r="U242" s="48"/>
      <c r="V242" s="48"/>
      <c r="W242" s="48"/>
    </row>
    <row r="243" spans="1:23" ht="15.75" customHeight="1">
      <c r="A243" s="48"/>
      <c r="B243" s="58"/>
      <c r="C243" s="123"/>
      <c r="D243" s="123"/>
      <c r="E243" s="60"/>
      <c r="F243" s="60"/>
      <c r="G243" s="60"/>
      <c r="H243" s="183"/>
      <c r="I243" s="184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48"/>
      <c r="U243" s="48"/>
      <c r="V243" s="48"/>
      <c r="W243" s="48"/>
    </row>
  </sheetData>
  <autoFilter ref="A10:W217" xr:uid="{00000000-0009-0000-0000-000005000000}"/>
  <mergeCells count="72">
    <mergeCell ref="C157:D157"/>
    <mergeCell ref="C192:D192"/>
    <mergeCell ref="C197:D197"/>
    <mergeCell ref="C121:D121"/>
    <mergeCell ref="C128:D128"/>
    <mergeCell ref="C135:D135"/>
    <mergeCell ref="C143:D143"/>
    <mergeCell ref="C150:D150"/>
    <mergeCell ref="C84:D84"/>
    <mergeCell ref="C91:D91"/>
    <mergeCell ref="C99:D99"/>
    <mergeCell ref="C106:D106"/>
    <mergeCell ref="C113:D113"/>
    <mergeCell ref="C48:D48"/>
    <mergeCell ref="C56:D56"/>
    <mergeCell ref="C63:D63"/>
    <mergeCell ref="C70:D70"/>
    <mergeCell ref="C77:D77"/>
    <mergeCell ref="C12:D12"/>
    <mergeCell ref="C20:D20"/>
    <mergeCell ref="C27:D27"/>
    <mergeCell ref="C34:D34"/>
    <mergeCell ref="C41:D41"/>
    <mergeCell ref="T8:U8"/>
    <mergeCell ref="V8:W8"/>
    <mergeCell ref="B5:C5"/>
    <mergeCell ref="B6:C6"/>
    <mergeCell ref="E6:F6"/>
    <mergeCell ref="B8:B9"/>
    <mergeCell ref="C8:C9"/>
    <mergeCell ref="D8:D9"/>
    <mergeCell ref="E8:E9"/>
    <mergeCell ref="E5:F5"/>
    <mergeCell ref="O5:S5"/>
    <mergeCell ref="F8:F9"/>
    <mergeCell ref="G8:G9"/>
    <mergeCell ref="H8:J8"/>
    <mergeCell ref="K8:M8"/>
    <mergeCell ref="N8:P8"/>
    <mergeCell ref="Q8:S8"/>
    <mergeCell ref="B2:F2"/>
    <mergeCell ref="H2:M2"/>
    <mergeCell ref="N2:S2"/>
    <mergeCell ref="B4:C4"/>
    <mergeCell ref="O4:S4"/>
    <mergeCell ref="C213:D213"/>
    <mergeCell ref="C214:D214"/>
    <mergeCell ref="C215:D215"/>
    <mergeCell ref="C216:D216"/>
    <mergeCell ref="C217:D217"/>
    <mergeCell ref="C180:D180"/>
    <mergeCell ref="C181:D181"/>
    <mergeCell ref="C189:D189"/>
    <mergeCell ref="C190:D190"/>
    <mergeCell ref="C212:D212"/>
    <mergeCell ref="C201:D201"/>
    <mergeCell ref="C205:D205"/>
    <mergeCell ref="C206:D206"/>
    <mergeCell ref="C207:D207"/>
    <mergeCell ref="C208:D208"/>
    <mergeCell ref="C210:D210"/>
    <mergeCell ref="C211:D211"/>
    <mergeCell ref="C172:D172"/>
    <mergeCell ref="C173:D173"/>
    <mergeCell ref="C174:D174"/>
    <mergeCell ref="C175:D175"/>
    <mergeCell ref="C176:D176"/>
    <mergeCell ref="C165:D165"/>
    <mergeCell ref="C168:D168"/>
    <mergeCell ref="C169:D169"/>
    <mergeCell ref="C170:D170"/>
    <mergeCell ref="C171:D171"/>
  </mergeCells>
  <conditionalFormatting sqref="H48 H41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rintOptions horizontalCentered="1" gridLines="1"/>
  <pageMargins left="0.25" right="0.25" top="0.75" bottom="0.75" header="0" footer="0"/>
  <pageSetup fitToWidth="0" pageOrder="overThenDown" orientation="landscape" cellComments="atEnd"/>
  <headerFooter>
    <oddHeader>&amp;R&amp;"Aptos"&amp;10&amp;K000000 Company Confidential&amp;1#_x000D_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FF"/>
    <outlinePr summaryBelow="0" summaryRight="0"/>
    <pageSetUpPr fitToPage="1"/>
  </sheetPr>
  <dimension ref="A1:X251"/>
  <sheetViews>
    <sheetView showGridLines="0" workbookViewId="0">
      <pane ySplit="9" topLeftCell="A10" activePane="bottomLeft" state="frozen"/>
      <selection pane="bottomLeft" activeCell="B11" sqref="B11"/>
    </sheetView>
  </sheetViews>
  <sheetFormatPr defaultColWidth="12.6328125" defaultRowHeight="15.75" customHeight="1" outlineLevelRow="2"/>
  <cols>
    <col min="1" max="1" width="2.7265625" customWidth="1"/>
    <col min="2" max="2" width="12.90625" customWidth="1"/>
    <col min="3" max="3" width="27.7265625" customWidth="1"/>
    <col min="4" max="4" width="21.36328125" customWidth="1"/>
    <col min="5" max="6" width="10.453125" customWidth="1"/>
    <col min="7" max="7" width="19.90625" customWidth="1"/>
    <col min="8" max="19" width="10.26953125" customWidth="1"/>
    <col min="20" max="24" width="17.36328125" customWidth="1"/>
  </cols>
  <sheetData>
    <row r="1" spans="1:24" ht="9" customHeight="1">
      <c r="A1" s="1"/>
      <c r="B1" s="2"/>
      <c r="C1" s="3"/>
      <c r="D1" s="3"/>
      <c r="E1" s="3"/>
      <c r="F1" s="4"/>
      <c r="G1" s="3"/>
      <c r="H1" s="5"/>
      <c r="I1" s="6"/>
      <c r="J1" s="7"/>
      <c r="K1" s="8"/>
      <c r="L1" s="7"/>
      <c r="M1" s="7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38.25" customHeight="1">
      <c r="A2" s="1"/>
      <c r="B2" s="334" t="s">
        <v>0</v>
      </c>
      <c r="C2" s="335"/>
      <c r="D2" s="335"/>
      <c r="E2" s="335"/>
      <c r="F2" s="335"/>
      <c r="H2" s="336"/>
      <c r="I2" s="337"/>
      <c r="J2" s="337"/>
      <c r="K2" s="337"/>
      <c r="L2" s="337"/>
      <c r="M2" s="337"/>
      <c r="N2" s="338"/>
      <c r="O2" s="337"/>
      <c r="P2" s="337"/>
      <c r="Q2" s="337"/>
      <c r="R2" s="337"/>
      <c r="S2" s="337"/>
      <c r="T2" s="1"/>
      <c r="U2" s="1"/>
      <c r="V2" s="1"/>
      <c r="W2" s="1"/>
      <c r="X2" s="1"/>
    </row>
    <row r="3" spans="1:24" ht="21" hidden="1" customHeight="1">
      <c r="A3" s="1"/>
      <c r="B3" s="9"/>
      <c r="C3" s="9"/>
      <c r="D3" s="10"/>
      <c r="E3" s="10"/>
      <c r="F3" s="10"/>
      <c r="G3" s="10"/>
      <c r="H3" s="11"/>
      <c r="I3" s="11"/>
      <c r="J3" s="11"/>
      <c r="K3" s="11"/>
      <c r="L3" s="12"/>
      <c r="M3" s="12"/>
      <c r="N3" s="12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1" customHeight="1">
      <c r="A4" s="1"/>
      <c r="B4" s="339" t="s">
        <v>1</v>
      </c>
      <c r="C4" s="340"/>
      <c r="D4" s="13"/>
      <c r="E4" s="14" t="s">
        <v>2</v>
      </c>
      <c r="F4" s="13"/>
      <c r="G4" s="14"/>
      <c r="H4" s="15"/>
      <c r="I4" s="15"/>
      <c r="J4" s="15"/>
      <c r="K4" s="16"/>
      <c r="L4" s="16"/>
      <c r="M4" s="16"/>
      <c r="N4" s="16"/>
      <c r="O4" s="341"/>
      <c r="P4" s="337"/>
      <c r="Q4" s="337"/>
      <c r="R4" s="337"/>
      <c r="S4" s="337"/>
      <c r="T4" s="1"/>
      <c r="U4" s="1"/>
      <c r="V4" s="1"/>
      <c r="W4" s="1"/>
      <c r="X4" s="1"/>
    </row>
    <row r="5" spans="1:24" ht="21" hidden="1" customHeight="1">
      <c r="A5" s="1"/>
      <c r="B5" s="356"/>
      <c r="C5" s="337"/>
      <c r="E5" s="342"/>
      <c r="F5" s="337"/>
      <c r="G5" s="17"/>
      <c r="H5" s="18"/>
      <c r="I5" s="18"/>
      <c r="J5" s="18"/>
      <c r="K5" s="16"/>
      <c r="L5" s="16"/>
      <c r="M5" s="16"/>
      <c r="N5" s="16"/>
      <c r="O5" s="343"/>
      <c r="P5" s="337"/>
      <c r="Q5" s="337"/>
      <c r="R5" s="337"/>
      <c r="S5" s="337"/>
      <c r="T5" s="1"/>
      <c r="U5" s="1"/>
      <c r="V5" s="1"/>
      <c r="W5" s="1"/>
      <c r="X5" s="1"/>
    </row>
    <row r="6" spans="1:24" ht="21" customHeight="1">
      <c r="A6" s="19"/>
      <c r="B6" s="329" t="s">
        <v>3</v>
      </c>
      <c r="C6" s="330"/>
      <c r="E6" s="342"/>
      <c r="F6" s="337"/>
      <c r="G6" s="17"/>
      <c r="H6" s="18"/>
      <c r="I6" s="18"/>
      <c r="J6" s="18"/>
      <c r="M6" s="20" t="s">
        <v>4</v>
      </c>
      <c r="N6" s="21"/>
      <c r="O6" s="21"/>
      <c r="P6" s="21"/>
      <c r="Q6" s="21"/>
      <c r="R6" s="21"/>
      <c r="S6" s="21"/>
      <c r="T6" s="19"/>
      <c r="U6" s="19"/>
      <c r="V6" s="19"/>
      <c r="W6" s="19"/>
      <c r="X6" s="19"/>
    </row>
    <row r="7" spans="1:24" ht="21" hidden="1" customHeight="1">
      <c r="A7" s="19"/>
      <c r="B7" s="22"/>
      <c r="C7" s="22"/>
      <c r="D7" s="22"/>
      <c r="E7" s="22"/>
      <c r="F7" s="22"/>
      <c r="G7" s="22"/>
      <c r="H7" s="22"/>
      <c r="I7" s="22"/>
      <c r="J7" s="22"/>
      <c r="K7" s="22"/>
      <c r="L7" s="21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ht="17.25" customHeight="1">
      <c r="A8" s="23"/>
      <c r="B8" s="357"/>
      <c r="C8" s="344" t="s">
        <v>5</v>
      </c>
      <c r="D8" s="344"/>
      <c r="E8" s="344" t="s">
        <v>6</v>
      </c>
      <c r="F8" s="344" t="s">
        <v>7</v>
      </c>
      <c r="G8" s="344" t="s">
        <v>8</v>
      </c>
      <c r="H8" s="346" t="s">
        <v>9</v>
      </c>
      <c r="I8" s="347"/>
      <c r="J8" s="348"/>
      <c r="K8" s="349" t="s">
        <v>10</v>
      </c>
      <c r="L8" s="350"/>
      <c r="M8" s="351"/>
      <c r="N8" s="352" t="s">
        <v>11</v>
      </c>
      <c r="O8" s="347"/>
      <c r="P8" s="348"/>
      <c r="Q8" s="353" t="s">
        <v>12</v>
      </c>
      <c r="R8" s="347"/>
      <c r="S8" s="348"/>
      <c r="T8" s="354" t="s">
        <v>13</v>
      </c>
      <c r="U8" s="348"/>
      <c r="V8" s="355" t="s">
        <v>14</v>
      </c>
      <c r="W8" s="348"/>
      <c r="X8" s="314"/>
    </row>
    <row r="9" spans="1:24" ht="17.25" customHeight="1">
      <c r="A9" s="24"/>
      <c r="B9" s="337"/>
      <c r="C9" s="345"/>
      <c r="D9" s="345"/>
      <c r="E9" s="345"/>
      <c r="F9" s="345"/>
      <c r="G9" s="345"/>
      <c r="H9" s="25" t="s">
        <v>15</v>
      </c>
      <c r="I9" s="25" t="s">
        <v>16</v>
      </c>
      <c r="J9" s="26" t="s">
        <v>17</v>
      </c>
      <c r="K9" s="198" t="s">
        <v>18</v>
      </c>
      <c r="L9" s="25" t="s">
        <v>19</v>
      </c>
      <c r="M9" s="28" t="s">
        <v>20</v>
      </c>
      <c r="N9" s="25" t="s">
        <v>21</v>
      </c>
      <c r="O9" s="25" t="s">
        <v>22</v>
      </c>
      <c r="P9" s="25" t="s">
        <v>23</v>
      </c>
      <c r="Q9" s="25" t="s">
        <v>24</v>
      </c>
      <c r="R9" s="25" t="s">
        <v>25</v>
      </c>
      <c r="S9" s="25" t="s">
        <v>26</v>
      </c>
      <c r="T9" s="29" t="s">
        <v>27</v>
      </c>
      <c r="U9" s="30" t="s">
        <v>28</v>
      </c>
      <c r="V9" s="29" t="s">
        <v>27</v>
      </c>
      <c r="W9" s="30" t="s">
        <v>28</v>
      </c>
      <c r="X9" s="315"/>
    </row>
    <row r="10" spans="1:24" ht="21" customHeight="1">
      <c r="A10" s="19"/>
      <c r="B10" s="31"/>
      <c r="C10" s="32" t="s">
        <v>29</v>
      </c>
      <c r="D10" s="33"/>
      <c r="E10" s="33"/>
      <c r="F10" s="33"/>
      <c r="G10" s="33"/>
      <c r="H10" s="34"/>
      <c r="I10" s="35"/>
      <c r="J10" s="36"/>
      <c r="K10" s="199"/>
      <c r="L10" s="200"/>
      <c r="M10" s="34"/>
      <c r="N10" s="34"/>
      <c r="O10" s="34"/>
      <c r="P10" s="34"/>
      <c r="Q10" s="34"/>
      <c r="R10" s="34"/>
      <c r="S10" s="34"/>
      <c r="T10" s="38">
        <f t="shared" ref="T10:W10" si="0">T11+T40+T48+T77+T92+T114+T136+T158+T190</f>
        <v>318795.19360067078</v>
      </c>
      <c r="U10" s="38">
        <f t="shared" si="0"/>
        <v>33856.174580612831</v>
      </c>
      <c r="V10" s="38">
        <f t="shared" si="0"/>
        <v>418300</v>
      </c>
      <c r="W10" s="38">
        <f t="shared" si="0"/>
        <v>27002</v>
      </c>
      <c r="X10" s="38">
        <f>T10+V10</f>
        <v>737095.19360067078</v>
      </c>
    </row>
    <row r="11" spans="1:24" ht="21" customHeight="1">
      <c r="A11" s="19"/>
      <c r="B11" s="39">
        <v>0</v>
      </c>
      <c r="C11" s="70" t="s">
        <v>141</v>
      </c>
      <c r="D11" s="42"/>
      <c r="E11" s="41"/>
      <c r="F11" s="41"/>
      <c r="G11" s="42"/>
      <c r="H11" s="43"/>
      <c r="I11" s="44"/>
      <c r="J11" s="45"/>
      <c r="K11" s="201"/>
      <c r="L11" s="202"/>
      <c r="M11" s="43"/>
      <c r="N11" s="43"/>
      <c r="O11" s="43"/>
      <c r="P11" s="43"/>
      <c r="Q11" s="43"/>
      <c r="R11" s="43"/>
      <c r="S11" s="43"/>
      <c r="T11" s="47">
        <f t="shared" ref="T11:W11" si="1">T12+T19+T26+T33</f>
        <v>0</v>
      </c>
      <c r="U11" s="47">
        <f t="shared" si="1"/>
        <v>0</v>
      </c>
      <c r="V11" s="47">
        <f t="shared" si="1"/>
        <v>39746</v>
      </c>
      <c r="W11" s="47">
        <f t="shared" si="1"/>
        <v>6000</v>
      </c>
      <c r="X11" s="43"/>
    </row>
    <row r="12" spans="1:24" ht="17.25" customHeight="1" outlineLevel="1">
      <c r="A12" s="76"/>
      <c r="B12" s="77">
        <v>0.1</v>
      </c>
      <c r="C12" s="358" t="s">
        <v>43</v>
      </c>
      <c r="D12" s="340"/>
      <c r="E12" s="78">
        <v>45986</v>
      </c>
      <c r="F12" s="78">
        <v>46022</v>
      </c>
      <c r="G12" s="80"/>
      <c r="H12" s="94"/>
      <c r="I12" s="95"/>
      <c r="J12" s="96"/>
      <c r="K12" s="96"/>
      <c r="L12" s="203"/>
      <c r="M12" s="204"/>
      <c r="N12" s="205"/>
      <c r="O12" s="99"/>
      <c r="P12" s="99"/>
      <c r="Q12" s="99"/>
      <c r="R12" s="99"/>
      <c r="S12" s="99"/>
      <c r="T12" s="91">
        <f t="shared" ref="T12:W12" si="2">SUM(T13:T18)</f>
        <v>0</v>
      </c>
      <c r="U12" s="91">
        <f t="shared" si="2"/>
        <v>0</v>
      </c>
      <c r="V12" s="91">
        <f t="shared" si="2"/>
        <v>31646</v>
      </c>
      <c r="W12" s="91">
        <f t="shared" si="2"/>
        <v>0</v>
      </c>
      <c r="X12" s="316"/>
    </row>
    <row r="13" spans="1:24" ht="17.25" customHeight="1" outlineLevel="2">
      <c r="A13" s="48"/>
      <c r="B13" s="58"/>
      <c r="C13" s="59"/>
      <c r="D13" s="59"/>
      <c r="E13" s="60"/>
      <c r="F13" s="60"/>
      <c r="G13" s="61" t="s">
        <v>32</v>
      </c>
      <c r="H13" s="62"/>
      <c r="I13" s="63"/>
      <c r="J13" s="64"/>
      <c r="K13" s="206"/>
      <c r="L13" s="207"/>
      <c r="M13" s="208"/>
      <c r="N13" s="67"/>
      <c r="O13" s="67"/>
      <c r="P13" s="67"/>
      <c r="Q13" s="67"/>
      <c r="R13" s="108">
        <v>8367</v>
      </c>
      <c r="S13" s="108">
        <v>18279</v>
      </c>
      <c r="T13" s="67"/>
      <c r="U13" s="67"/>
      <c r="V13" s="67">
        <f t="shared" ref="V13:V18" si="3">SUM(N13:S13)</f>
        <v>26646</v>
      </c>
      <c r="W13" s="67"/>
      <c r="X13" s="317"/>
    </row>
    <row r="14" spans="1:24" ht="17.25" customHeight="1" outlineLevel="2">
      <c r="A14" s="48"/>
      <c r="B14" s="58"/>
      <c r="C14" s="59"/>
      <c r="D14" s="59"/>
      <c r="E14" s="60"/>
      <c r="F14" s="60"/>
      <c r="G14" s="61" t="s">
        <v>33</v>
      </c>
      <c r="H14" s="62"/>
      <c r="I14" s="63"/>
      <c r="J14" s="64"/>
      <c r="K14" s="206"/>
      <c r="L14" s="209"/>
      <c r="M14" s="69"/>
      <c r="N14" s="67"/>
      <c r="O14" s="67"/>
      <c r="P14" s="67"/>
      <c r="Q14" s="67"/>
      <c r="R14" s="67"/>
      <c r="S14" s="67">
        <v>5000</v>
      </c>
      <c r="T14" s="67"/>
      <c r="U14" s="67"/>
      <c r="V14" s="67">
        <f t="shared" si="3"/>
        <v>5000</v>
      </c>
      <c r="W14" s="67"/>
      <c r="X14" s="317"/>
    </row>
    <row r="15" spans="1:24" ht="17.25" customHeight="1" outlineLevel="2">
      <c r="A15" s="48"/>
      <c r="B15" s="58"/>
      <c r="C15" s="59"/>
      <c r="D15" s="59"/>
      <c r="E15" s="60"/>
      <c r="F15" s="60"/>
      <c r="G15" s="61" t="s">
        <v>34</v>
      </c>
      <c r="H15" s="62"/>
      <c r="I15" s="63"/>
      <c r="J15" s="64"/>
      <c r="K15" s="206"/>
      <c r="L15" s="210"/>
      <c r="M15" s="92"/>
      <c r="N15" s="67"/>
      <c r="O15" s="67"/>
      <c r="P15" s="67"/>
      <c r="Q15" s="67"/>
      <c r="R15" s="68"/>
      <c r="S15" s="67"/>
      <c r="T15" s="67"/>
      <c r="U15" s="67"/>
      <c r="V15" s="67">
        <f t="shared" si="3"/>
        <v>0</v>
      </c>
      <c r="W15" s="67"/>
      <c r="X15" s="317"/>
    </row>
    <row r="16" spans="1:24" ht="17.25" customHeight="1" outlineLevel="2">
      <c r="A16" s="48"/>
      <c r="B16" s="58"/>
      <c r="C16" s="59"/>
      <c r="D16" s="59"/>
      <c r="E16" s="60"/>
      <c r="F16" s="60"/>
      <c r="G16" s="61" t="s">
        <v>35</v>
      </c>
      <c r="H16" s="62"/>
      <c r="I16" s="63"/>
      <c r="J16" s="64"/>
      <c r="K16" s="206"/>
      <c r="L16" s="211"/>
      <c r="M16" s="104"/>
      <c r="N16" s="67"/>
      <c r="O16" s="67"/>
      <c r="P16" s="67"/>
      <c r="Q16" s="67"/>
      <c r="R16" s="68"/>
      <c r="S16" s="67"/>
      <c r="T16" s="67"/>
      <c r="U16" s="67"/>
      <c r="V16" s="67">
        <f t="shared" si="3"/>
        <v>0</v>
      </c>
      <c r="W16" s="67"/>
      <c r="X16" s="317"/>
    </row>
    <row r="17" spans="1:24" ht="17.25" customHeight="1" outlineLevel="2">
      <c r="A17" s="48"/>
      <c r="B17" s="58"/>
      <c r="C17" s="59"/>
      <c r="D17" s="59"/>
      <c r="E17" s="60"/>
      <c r="F17" s="60"/>
      <c r="G17" s="61" t="s">
        <v>36</v>
      </c>
      <c r="H17" s="62"/>
      <c r="I17" s="63"/>
      <c r="J17" s="64"/>
      <c r="K17" s="206"/>
      <c r="L17" s="209"/>
      <c r="M17" s="69"/>
      <c r="N17" s="67"/>
      <c r="O17" s="67"/>
      <c r="P17" s="67"/>
      <c r="Q17" s="67"/>
      <c r="R17" s="68"/>
      <c r="S17" s="67"/>
      <c r="T17" s="67"/>
      <c r="U17" s="67"/>
      <c r="V17" s="67">
        <f t="shared" si="3"/>
        <v>0</v>
      </c>
      <c r="W17" s="67"/>
      <c r="X17" s="317"/>
    </row>
    <row r="18" spans="1:24" ht="17.25" customHeight="1" outlineLevel="2">
      <c r="A18" s="48"/>
      <c r="B18" s="58"/>
      <c r="C18" s="59"/>
      <c r="D18" s="59"/>
      <c r="E18" s="60"/>
      <c r="F18" s="60"/>
      <c r="G18" s="61" t="s">
        <v>37</v>
      </c>
      <c r="H18" s="62"/>
      <c r="I18" s="63"/>
      <c r="J18" s="64"/>
      <c r="K18" s="212"/>
      <c r="L18" s="209"/>
      <c r="M18" s="69"/>
      <c r="N18" s="67"/>
      <c r="O18" s="67"/>
      <c r="P18" s="67"/>
      <c r="Q18" s="67"/>
      <c r="R18" s="68"/>
      <c r="S18" s="68"/>
      <c r="T18" s="67"/>
      <c r="U18" s="67"/>
      <c r="V18" s="67">
        <f t="shared" si="3"/>
        <v>0</v>
      </c>
      <c r="W18" s="67"/>
      <c r="X18" s="317"/>
    </row>
    <row r="19" spans="1:24" ht="17.25" customHeight="1" outlineLevel="1">
      <c r="A19" s="76"/>
      <c r="B19" s="77">
        <v>0.2</v>
      </c>
      <c r="C19" s="358" t="s">
        <v>142</v>
      </c>
      <c r="D19" s="340"/>
      <c r="E19" s="78">
        <v>45986</v>
      </c>
      <c r="F19" s="78">
        <v>46022</v>
      </c>
      <c r="G19" s="80"/>
      <c r="H19" s="94"/>
      <c r="I19" s="95"/>
      <c r="J19" s="96"/>
      <c r="K19" s="96"/>
      <c r="L19" s="203"/>
      <c r="M19" s="204"/>
      <c r="N19" s="205"/>
      <c r="O19" s="99"/>
      <c r="P19" s="99"/>
      <c r="Q19" s="99"/>
      <c r="R19" s="99"/>
      <c r="S19" s="99"/>
      <c r="T19" s="91">
        <f t="shared" ref="T19:W19" si="4">SUM(T20:T25)</f>
        <v>0</v>
      </c>
      <c r="U19" s="91">
        <f t="shared" si="4"/>
        <v>0</v>
      </c>
      <c r="V19" s="91">
        <f t="shared" si="4"/>
        <v>0</v>
      </c>
      <c r="W19" s="91">
        <f t="shared" si="4"/>
        <v>0</v>
      </c>
      <c r="X19" s="316"/>
    </row>
    <row r="20" spans="1:24" ht="17.25" customHeight="1" outlineLevel="2">
      <c r="A20" s="48"/>
      <c r="B20" s="58"/>
      <c r="C20" s="59"/>
      <c r="D20" s="59"/>
      <c r="E20" s="60"/>
      <c r="F20" s="60"/>
      <c r="G20" s="61" t="s">
        <v>32</v>
      </c>
      <c r="H20" s="62"/>
      <c r="I20" s="63"/>
      <c r="J20" s="64"/>
      <c r="K20" s="206"/>
      <c r="L20" s="207"/>
      <c r="M20" s="208"/>
      <c r="N20" s="67"/>
      <c r="O20" s="67"/>
      <c r="P20" s="67"/>
      <c r="Q20" s="67"/>
      <c r="R20" s="67"/>
      <c r="S20" s="67"/>
      <c r="T20" s="67"/>
      <c r="U20" s="67"/>
      <c r="V20" s="67">
        <f t="shared" ref="V20:V25" si="5">SUM(N20:S20)</f>
        <v>0</v>
      </c>
      <c r="W20" s="67"/>
      <c r="X20" s="317"/>
    </row>
    <row r="21" spans="1:24" ht="17.25" customHeight="1" outlineLevel="2">
      <c r="A21" s="48"/>
      <c r="B21" s="58"/>
      <c r="C21" s="59"/>
      <c r="D21" s="59"/>
      <c r="E21" s="60"/>
      <c r="F21" s="60"/>
      <c r="G21" s="61" t="s">
        <v>33</v>
      </c>
      <c r="H21" s="62"/>
      <c r="I21" s="63"/>
      <c r="J21" s="64"/>
      <c r="K21" s="206"/>
      <c r="L21" s="209"/>
      <c r="M21" s="69"/>
      <c r="N21" s="67"/>
      <c r="O21" s="67"/>
      <c r="P21" s="67"/>
      <c r="Q21" s="67"/>
      <c r="R21" s="67"/>
      <c r="S21" s="67"/>
      <c r="T21" s="67"/>
      <c r="U21" s="67"/>
      <c r="V21" s="67">
        <f t="shared" si="5"/>
        <v>0</v>
      </c>
      <c r="W21" s="67"/>
      <c r="X21" s="317"/>
    </row>
    <row r="22" spans="1:24" ht="17.25" customHeight="1" outlineLevel="2">
      <c r="A22" s="48"/>
      <c r="B22" s="58"/>
      <c r="C22" s="59"/>
      <c r="D22" s="59"/>
      <c r="E22" s="60"/>
      <c r="F22" s="60"/>
      <c r="G22" s="61" t="s">
        <v>34</v>
      </c>
      <c r="H22" s="62"/>
      <c r="I22" s="63"/>
      <c r="J22" s="64"/>
      <c r="K22" s="206"/>
      <c r="L22" s="210"/>
      <c r="M22" s="92"/>
      <c r="N22" s="67"/>
      <c r="O22" s="67"/>
      <c r="P22" s="67"/>
      <c r="Q22" s="67"/>
      <c r="R22" s="68"/>
      <c r="S22" s="67"/>
      <c r="T22" s="67"/>
      <c r="U22" s="67"/>
      <c r="V22" s="67">
        <f t="shared" si="5"/>
        <v>0</v>
      </c>
      <c r="W22" s="67"/>
      <c r="X22" s="317"/>
    </row>
    <row r="23" spans="1:24" ht="17.25" customHeight="1" outlineLevel="2">
      <c r="A23" s="48"/>
      <c r="B23" s="58"/>
      <c r="C23" s="59"/>
      <c r="D23" s="59"/>
      <c r="E23" s="60"/>
      <c r="F23" s="60"/>
      <c r="G23" s="61" t="s">
        <v>35</v>
      </c>
      <c r="H23" s="62"/>
      <c r="I23" s="63"/>
      <c r="J23" s="64"/>
      <c r="K23" s="206"/>
      <c r="L23" s="211"/>
      <c r="M23" s="104"/>
      <c r="N23" s="67"/>
      <c r="O23" s="67"/>
      <c r="P23" s="67"/>
      <c r="Q23" s="67"/>
      <c r="R23" s="68"/>
      <c r="S23" s="67"/>
      <c r="T23" s="67"/>
      <c r="U23" s="67"/>
      <c r="V23" s="67">
        <f t="shared" si="5"/>
        <v>0</v>
      </c>
      <c r="W23" s="67"/>
      <c r="X23" s="317"/>
    </row>
    <row r="24" spans="1:24" ht="17.25" customHeight="1" outlineLevel="2">
      <c r="A24" s="48"/>
      <c r="B24" s="58"/>
      <c r="C24" s="59"/>
      <c r="D24" s="59"/>
      <c r="E24" s="60"/>
      <c r="F24" s="60"/>
      <c r="G24" s="61" t="s">
        <v>36</v>
      </c>
      <c r="H24" s="62"/>
      <c r="I24" s="63"/>
      <c r="J24" s="64"/>
      <c r="K24" s="206"/>
      <c r="L24" s="209"/>
      <c r="M24" s="69"/>
      <c r="N24" s="67"/>
      <c r="O24" s="67"/>
      <c r="P24" s="67"/>
      <c r="Q24" s="67"/>
      <c r="R24" s="68"/>
      <c r="S24" s="67"/>
      <c r="T24" s="67"/>
      <c r="U24" s="67"/>
      <c r="V24" s="67">
        <f t="shared" si="5"/>
        <v>0</v>
      </c>
      <c r="W24" s="67"/>
      <c r="X24" s="317"/>
    </row>
    <row r="25" spans="1:24" ht="17.25" customHeight="1" outlineLevel="2">
      <c r="A25" s="48"/>
      <c r="B25" s="58"/>
      <c r="C25" s="59"/>
      <c r="D25" s="59"/>
      <c r="E25" s="60"/>
      <c r="F25" s="60"/>
      <c r="G25" s="61" t="s">
        <v>37</v>
      </c>
      <c r="H25" s="62"/>
      <c r="I25" s="63"/>
      <c r="J25" s="64"/>
      <c r="K25" s="212"/>
      <c r="L25" s="209"/>
      <c r="M25" s="69"/>
      <c r="N25" s="67"/>
      <c r="O25" s="67"/>
      <c r="P25" s="67"/>
      <c r="Q25" s="67"/>
      <c r="R25" s="68"/>
      <c r="S25" s="68"/>
      <c r="T25" s="67"/>
      <c r="U25" s="67"/>
      <c r="V25" s="67">
        <f t="shared" si="5"/>
        <v>0</v>
      </c>
      <c r="W25" s="67"/>
      <c r="X25" s="317"/>
    </row>
    <row r="26" spans="1:24" ht="17.25" customHeight="1" outlineLevel="1">
      <c r="A26" s="76"/>
      <c r="B26" s="77">
        <v>0.3</v>
      </c>
      <c r="C26" s="358" t="s">
        <v>143</v>
      </c>
      <c r="D26" s="340"/>
      <c r="E26" s="78">
        <v>45992</v>
      </c>
      <c r="F26" s="78">
        <v>46022</v>
      </c>
      <c r="G26" s="80"/>
      <c r="H26" s="94"/>
      <c r="I26" s="95"/>
      <c r="J26" s="96"/>
      <c r="K26" s="96"/>
      <c r="L26" s="203"/>
      <c r="M26" s="204"/>
      <c r="N26" s="205"/>
      <c r="O26" s="99"/>
      <c r="P26" s="99"/>
      <c r="Q26" s="99"/>
      <c r="R26" s="99"/>
      <c r="S26" s="99"/>
      <c r="T26" s="91">
        <f t="shared" ref="T26:W26" si="6">SUM(T27:T32)</f>
        <v>0</v>
      </c>
      <c r="U26" s="91">
        <f t="shared" si="6"/>
        <v>0</v>
      </c>
      <c r="V26" s="91">
        <f t="shared" si="6"/>
        <v>8100</v>
      </c>
      <c r="W26" s="91">
        <f t="shared" si="6"/>
        <v>0</v>
      </c>
      <c r="X26" s="316"/>
    </row>
    <row r="27" spans="1:24" ht="17.25" customHeight="1" outlineLevel="2">
      <c r="A27" s="48"/>
      <c r="B27" s="58"/>
      <c r="C27" s="59"/>
      <c r="D27" s="59"/>
      <c r="E27" s="60"/>
      <c r="F27" s="60"/>
      <c r="G27" s="61" t="s">
        <v>32</v>
      </c>
      <c r="H27" s="67"/>
      <c r="I27" s="67"/>
      <c r="J27" s="67"/>
      <c r="K27" s="67"/>
      <c r="L27" s="207"/>
      <c r="M27" s="208"/>
      <c r="N27" s="67"/>
      <c r="O27" s="67"/>
      <c r="P27" s="67"/>
      <c r="Q27" s="67"/>
      <c r="R27" s="67"/>
      <c r="S27" s="67"/>
      <c r="T27" s="67"/>
      <c r="U27" s="67"/>
      <c r="V27" s="67">
        <f t="shared" ref="V27:V32" si="7">SUM(N27:S27)</f>
        <v>0</v>
      </c>
      <c r="W27" s="67"/>
      <c r="X27" s="317"/>
    </row>
    <row r="28" spans="1:24" ht="17.25" customHeight="1" outlineLevel="2">
      <c r="A28" s="48"/>
      <c r="B28" s="58"/>
      <c r="C28" s="59"/>
      <c r="D28" s="59"/>
      <c r="E28" s="60"/>
      <c r="F28" s="60"/>
      <c r="G28" s="61" t="s">
        <v>33</v>
      </c>
      <c r="H28" s="67"/>
      <c r="I28" s="67"/>
      <c r="J28" s="67"/>
      <c r="K28" s="67"/>
      <c r="L28" s="209"/>
      <c r="M28" s="69"/>
      <c r="N28" s="67"/>
      <c r="O28" s="67"/>
      <c r="P28" s="67"/>
      <c r="Q28" s="67"/>
      <c r="R28" s="67"/>
      <c r="S28" s="67">
        <v>3100</v>
      </c>
      <c r="T28" s="67"/>
      <c r="U28" s="67"/>
      <c r="V28" s="67">
        <f t="shared" si="7"/>
        <v>3100</v>
      </c>
      <c r="W28" s="67"/>
      <c r="X28" s="317"/>
    </row>
    <row r="29" spans="1:24" ht="17.25" customHeight="1" outlineLevel="2">
      <c r="A29" s="48"/>
      <c r="B29" s="58"/>
      <c r="C29" s="59"/>
      <c r="D29" s="59"/>
      <c r="E29" s="60"/>
      <c r="F29" s="60"/>
      <c r="G29" s="61" t="s">
        <v>34</v>
      </c>
      <c r="H29" s="67">
        <f>1618+1070</f>
        <v>2688</v>
      </c>
      <c r="I29" s="67"/>
      <c r="J29" s="67"/>
      <c r="K29" s="67"/>
      <c r="L29" s="210"/>
      <c r="M29" s="92"/>
      <c r="N29" s="67"/>
      <c r="O29" s="67"/>
      <c r="P29" s="67"/>
      <c r="Q29" s="67"/>
      <c r="R29" s="68"/>
      <c r="S29" s="67">
        <v>1500</v>
      </c>
      <c r="T29" s="67"/>
      <c r="U29" s="67"/>
      <c r="V29" s="67">
        <f t="shared" si="7"/>
        <v>1500</v>
      </c>
      <c r="W29" s="67"/>
      <c r="X29" s="317"/>
    </row>
    <row r="30" spans="1:24" ht="17.25" customHeight="1" outlineLevel="2">
      <c r="A30" s="48"/>
      <c r="B30" s="58"/>
      <c r="C30" s="59"/>
      <c r="D30" s="59"/>
      <c r="E30" s="60"/>
      <c r="F30" s="60"/>
      <c r="G30" s="61" t="s">
        <v>35</v>
      </c>
      <c r="H30" s="67"/>
      <c r="I30" s="67"/>
      <c r="J30" s="67"/>
      <c r="K30" s="67"/>
      <c r="L30" s="211"/>
      <c r="M30" s="104"/>
      <c r="N30" s="67"/>
      <c r="O30" s="67"/>
      <c r="P30" s="67"/>
      <c r="Q30" s="67"/>
      <c r="R30" s="68"/>
      <c r="S30" s="67">
        <v>3500</v>
      </c>
      <c r="T30" s="67"/>
      <c r="U30" s="67"/>
      <c r="V30" s="67">
        <f t="shared" si="7"/>
        <v>3500</v>
      </c>
      <c r="W30" s="67"/>
      <c r="X30" s="317"/>
    </row>
    <row r="31" spans="1:24" ht="17.25" customHeight="1" outlineLevel="2">
      <c r="A31" s="48"/>
      <c r="B31" s="58"/>
      <c r="C31" s="59"/>
      <c r="D31" s="59"/>
      <c r="E31" s="60"/>
      <c r="F31" s="60"/>
      <c r="G31" s="61" t="s">
        <v>36</v>
      </c>
      <c r="H31" s="67"/>
      <c r="I31" s="67"/>
      <c r="J31" s="67"/>
      <c r="K31" s="67"/>
      <c r="L31" s="209"/>
      <c r="M31" s="69"/>
      <c r="N31" s="67"/>
      <c r="O31" s="67"/>
      <c r="P31" s="67"/>
      <c r="Q31" s="67"/>
      <c r="R31" s="68"/>
      <c r="S31" s="67"/>
      <c r="T31" s="67"/>
      <c r="U31" s="67"/>
      <c r="V31" s="67">
        <f t="shared" si="7"/>
        <v>0</v>
      </c>
      <c r="W31" s="67"/>
      <c r="X31" s="317"/>
    </row>
    <row r="32" spans="1:24" ht="17.25" customHeight="1" outlineLevel="2">
      <c r="A32" s="48"/>
      <c r="B32" s="58"/>
      <c r="C32" s="59"/>
      <c r="D32" s="59"/>
      <c r="E32" s="60"/>
      <c r="F32" s="60"/>
      <c r="G32" s="61" t="s">
        <v>37</v>
      </c>
      <c r="H32" s="67"/>
      <c r="I32" s="67"/>
      <c r="J32" s="67"/>
      <c r="K32" s="67"/>
      <c r="L32" s="209"/>
      <c r="M32" s="69"/>
      <c r="N32" s="67"/>
      <c r="O32" s="67"/>
      <c r="P32" s="67"/>
      <c r="Q32" s="67"/>
      <c r="R32" s="68"/>
      <c r="S32" s="68"/>
      <c r="T32" s="67"/>
      <c r="U32" s="67"/>
      <c r="V32" s="67">
        <f t="shared" si="7"/>
        <v>0</v>
      </c>
      <c r="W32" s="67"/>
      <c r="X32" s="317"/>
    </row>
    <row r="33" spans="1:24" ht="17.25" customHeight="1" outlineLevel="1">
      <c r="A33" s="76"/>
      <c r="B33" s="77">
        <v>0.4</v>
      </c>
      <c r="C33" s="358" t="s">
        <v>182</v>
      </c>
      <c r="D33" s="340"/>
      <c r="E33" s="78">
        <v>45992</v>
      </c>
      <c r="F33" s="78">
        <v>46022</v>
      </c>
      <c r="G33" s="80"/>
      <c r="H33" s="94"/>
      <c r="I33" s="95"/>
      <c r="J33" s="96"/>
      <c r="K33" s="96"/>
      <c r="L33" s="203"/>
      <c r="M33" s="204"/>
      <c r="N33" s="205"/>
      <c r="O33" s="99"/>
      <c r="P33" s="99"/>
      <c r="Q33" s="99"/>
      <c r="R33" s="99"/>
      <c r="S33" s="99"/>
      <c r="T33" s="91">
        <f t="shared" ref="T33:W33" si="8">SUM(T34:T39)</f>
        <v>0</v>
      </c>
      <c r="U33" s="91">
        <f t="shared" si="8"/>
        <v>0</v>
      </c>
      <c r="V33" s="91">
        <f t="shared" si="8"/>
        <v>0</v>
      </c>
      <c r="W33" s="91">
        <f t="shared" si="8"/>
        <v>6000</v>
      </c>
      <c r="X33" s="316"/>
    </row>
    <row r="34" spans="1:24" ht="17.25" customHeight="1" outlineLevel="2">
      <c r="A34" s="48"/>
      <c r="B34" s="58"/>
      <c r="C34" s="59"/>
      <c r="D34" s="59"/>
      <c r="E34" s="60"/>
      <c r="F34" s="60"/>
      <c r="G34" s="61" t="s">
        <v>32</v>
      </c>
      <c r="H34" s="62"/>
      <c r="I34" s="63"/>
      <c r="J34" s="64"/>
      <c r="K34" s="206"/>
      <c r="L34" s="207"/>
      <c r="M34" s="208"/>
      <c r="N34" s="67"/>
      <c r="O34" s="67"/>
      <c r="P34" s="67"/>
      <c r="Q34" s="67"/>
      <c r="R34" s="67"/>
      <c r="S34" s="67"/>
      <c r="T34" s="67"/>
      <c r="U34" s="67"/>
      <c r="V34" s="67">
        <f t="shared" ref="V34:V35" si="9">SUM(M34:S34)</f>
        <v>0</v>
      </c>
      <c r="W34" s="67">
        <f t="shared" ref="W34:W37" si="10">SUM(N34:S34)</f>
        <v>0</v>
      </c>
      <c r="X34" s="317"/>
    </row>
    <row r="35" spans="1:24" ht="17.25" customHeight="1" outlineLevel="2">
      <c r="A35" s="48"/>
      <c r="B35" s="58"/>
      <c r="C35" s="59"/>
      <c r="D35" s="59"/>
      <c r="E35" s="60"/>
      <c r="F35" s="60"/>
      <c r="G35" s="61" t="s">
        <v>33</v>
      </c>
      <c r="H35" s="62"/>
      <c r="I35" s="63"/>
      <c r="J35" s="64"/>
      <c r="K35" s="206"/>
      <c r="L35" s="209"/>
      <c r="M35" s="69"/>
      <c r="N35" s="67"/>
      <c r="O35" s="67"/>
      <c r="P35" s="67"/>
      <c r="Q35" s="67"/>
      <c r="R35" s="67"/>
      <c r="S35" s="67"/>
      <c r="T35" s="67"/>
      <c r="U35" s="67"/>
      <c r="V35" s="67">
        <f t="shared" si="9"/>
        <v>0</v>
      </c>
      <c r="W35" s="67">
        <f t="shared" si="10"/>
        <v>0</v>
      </c>
      <c r="X35" s="317"/>
    </row>
    <row r="36" spans="1:24" ht="17.25" customHeight="1" outlineLevel="2">
      <c r="A36" s="48"/>
      <c r="B36" s="58"/>
      <c r="C36" s="59"/>
      <c r="D36" s="59"/>
      <c r="E36" s="60"/>
      <c r="F36" s="60"/>
      <c r="G36" s="61" t="s">
        <v>34</v>
      </c>
      <c r="H36" s="62"/>
      <c r="I36" s="63"/>
      <c r="J36" s="64"/>
      <c r="K36" s="206"/>
      <c r="L36" s="210"/>
      <c r="M36" s="92"/>
      <c r="N36" s="67"/>
      <c r="O36" s="67"/>
      <c r="P36" s="67"/>
      <c r="Q36" s="67"/>
      <c r="R36" s="68"/>
      <c r="S36" s="67">
        <v>6000</v>
      </c>
      <c r="T36" s="67"/>
      <c r="U36" s="67"/>
      <c r="V36" s="67"/>
      <c r="W36" s="67">
        <f t="shared" si="10"/>
        <v>6000</v>
      </c>
      <c r="X36" s="317"/>
    </row>
    <row r="37" spans="1:24" ht="17.25" customHeight="1" outlineLevel="2">
      <c r="A37" s="48"/>
      <c r="B37" s="58"/>
      <c r="C37" s="59"/>
      <c r="D37" s="59"/>
      <c r="E37" s="60"/>
      <c r="F37" s="60"/>
      <c r="G37" s="61" t="s">
        <v>35</v>
      </c>
      <c r="H37" s="62"/>
      <c r="I37" s="63"/>
      <c r="J37" s="64"/>
      <c r="K37" s="206"/>
      <c r="L37" s="211"/>
      <c r="M37" s="104"/>
      <c r="N37" s="67"/>
      <c r="O37" s="67"/>
      <c r="P37" s="67"/>
      <c r="Q37" s="67"/>
      <c r="R37" s="68"/>
      <c r="S37" s="67"/>
      <c r="T37" s="67"/>
      <c r="U37" s="67"/>
      <c r="V37" s="67">
        <f t="shared" ref="V37:V39" si="11">SUM(M37:S37)</f>
        <v>0</v>
      </c>
      <c r="W37" s="67">
        <f t="shared" si="10"/>
        <v>0</v>
      </c>
      <c r="X37" s="317"/>
    </row>
    <row r="38" spans="1:24" ht="17.25" customHeight="1" outlineLevel="2">
      <c r="A38" s="48"/>
      <c r="B38" s="58"/>
      <c r="C38" s="59"/>
      <c r="D38" s="59"/>
      <c r="E38" s="60"/>
      <c r="F38" s="60"/>
      <c r="G38" s="61" t="s">
        <v>36</v>
      </c>
      <c r="H38" s="62"/>
      <c r="I38" s="63"/>
      <c r="J38" s="64"/>
      <c r="K38" s="206"/>
      <c r="L38" s="209"/>
      <c r="M38" s="69"/>
      <c r="N38" s="67"/>
      <c r="O38" s="67"/>
      <c r="P38" s="67"/>
      <c r="Q38" s="67"/>
      <c r="R38" s="68"/>
      <c r="S38" s="67"/>
      <c r="T38" s="67"/>
      <c r="U38" s="67"/>
      <c r="V38" s="67">
        <f t="shared" si="11"/>
        <v>0</v>
      </c>
      <c r="W38" s="67"/>
      <c r="X38" s="317"/>
    </row>
    <row r="39" spans="1:24" ht="17.25" customHeight="1" outlineLevel="2">
      <c r="A39" s="48"/>
      <c r="B39" s="58"/>
      <c r="C39" s="59"/>
      <c r="D39" s="59"/>
      <c r="E39" s="60"/>
      <c r="F39" s="60"/>
      <c r="G39" s="61" t="s">
        <v>37</v>
      </c>
      <c r="H39" s="62"/>
      <c r="I39" s="63"/>
      <c r="J39" s="64"/>
      <c r="K39" s="212"/>
      <c r="L39" s="209"/>
      <c r="M39" s="69"/>
      <c r="N39" s="67"/>
      <c r="O39" s="67"/>
      <c r="P39" s="67"/>
      <c r="Q39" s="67"/>
      <c r="R39" s="68"/>
      <c r="S39" s="68"/>
      <c r="T39" s="67"/>
      <c r="U39" s="67"/>
      <c r="V39" s="67">
        <f t="shared" si="11"/>
        <v>0</v>
      </c>
      <c r="W39" s="67"/>
      <c r="X39" s="317"/>
    </row>
    <row r="40" spans="1:24" ht="21" customHeight="1">
      <c r="A40" s="19"/>
      <c r="B40" s="39">
        <v>1</v>
      </c>
      <c r="C40" s="40" t="s">
        <v>30</v>
      </c>
      <c r="D40" s="41"/>
      <c r="E40" s="41"/>
      <c r="F40" s="41"/>
      <c r="G40" s="42"/>
      <c r="H40" s="43"/>
      <c r="I40" s="44"/>
      <c r="J40" s="45"/>
      <c r="K40" s="201"/>
      <c r="L40" s="202"/>
      <c r="M40" s="43"/>
      <c r="N40" s="43"/>
      <c r="O40" s="43"/>
      <c r="P40" s="43"/>
      <c r="Q40" s="43"/>
      <c r="R40" s="43"/>
      <c r="S40" s="43"/>
      <c r="T40" s="47">
        <f t="shared" ref="T40:W40" si="12">T41</f>
        <v>4157</v>
      </c>
      <c r="U40" s="47">
        <f t="shared" si="12"/>
        <v>0</v>
      </c>
      <c r="V40" s="47">
        <f t="shared" si="12"/>
        <v>57906</v>
      </c>
      <c r="W40" s="47">
        <f t="shared" si="12"/>
        <v>0</v>
      </c>
      <c r="X40" s="43"/>
    </row>
    <row r="41" spans="1:24" ht="17.25" customHeight="1" outlineLevel="1">
      <c r="A41" s="48"/>
      <c r="B41" s="49">
        <v>1.1000000000000001</v>
      </c>
      <c r="C41" s="332" t="s">
        <v>31</v>
      </c>
      <c r="D41" s="330"/>
      <c r="E41" s="50">
        <v>45838</v>
      </c>
      <c r="F41" s="50">
        <v>45960</v>
      </c>
      <c r="G41" s="51"/>
      <c r="H41" s="52"/>
      <c r="I41" s="53"/>
      <c r="J41" s="54"/>
      <c r="K41" s="213"/>
      <c r="L41" s="214"/>
      <c r="M41" s="56"/>
      <c r="N41" s="56"/>
      <c r="O41" s="56"/>
      <c r="P41" s="56"/>
      <c r="Q41" s="56"/>
      <c r="R41" s="56"/>
      <c r="S41" s="56"/>
      <c r="T41" s="57">
        <f t="shared" ref="T41:W41" si="13">SUM(T42:T47)</f>
        <v>4157</v>
      </c>
      <c r="U41" s="57">
        <f t="shared" si="13"/>
        <v>0</v>
      </c>
      <c r="V41" s="57">
        <f t="shared" si="13"/>
        <v>57906</v>
      </c>
      <c r="W41" s="57">
        <f t="shared" si="13"/>
        <v>0</v>
      </c>
      <c r="X41" s="318"/>
    </row>
    <row r="42" spans="1:24" ht="17.25" customHeight="1" outlineLevel="1">
      <c r="A42" s="48"/>
      <c r="B42" s="58"/>
      <c r="C42" s="59"/>
      <c r="D42" s="59"/>
      <c r="E42" s="60"/>
      <c r="F42" s="60"/>
      <c r="G42" s="61" t="s">
        <v>32</v>
      </c>
      <c r="H42" s="62"/>
      <c r="I42" s="63"/>
      <c r="J42" s="64"/>
      <c r="K42" s="212"/>
      <c r="L42" s="215"/>
      <c r="M42" s="110">
        <v>4143</v>
      </c>
      <c r="N42" s="108">
        <v>4628</v>
      </c>
      <c r="O42" s="108">
        <v>7045</v>
      </c>
      <c r="P42" s="108">
        <v>4137</v>
      </c>
      <c r="Q42" s="108">
        <v>3896</v>
      </c>
      <c r="R42" s="68"/>
      <c r="S42" s="68"/>
      <c r="T42" s="67">
        <f t="shared" ref="T42:T47" si="14">SUM(H42:M42)</f>
        <v>4143</v>
      </c>
      <c r="U42" s="67"/>
      <c r="V42" s="67">
        <f t="shared" ref="V42:V47" si="15">SUM(N42:S42)</f>
        <v>19706</v>
      </c>
      <c r="W42" s="67"/>
      <c r="X42" s="317"/>
    </row>
    <row r="43" spans="1:24" ht="17.25" customHeight="1" outlineLevel="1">
      <c r="A43" s="48"/>
      <c r="B43" s="58"/>
      <c r="C43" s="59"/>
      <c r="D43" s="59"/>
      <c r="E43" s="60"/>
      <c r="F43" s="60"/>
      <c r="G43" s="61" t="s">
        <v>33</v>
      </c>
      <c r="H43" s="62"/>
      <c r="I43" s="63"/>
      <c r="J43" s="64"/>
      <c r="K43" s="212"/>
      <c r="L43" s="209"/>
      <c r="M43" s="69"/>
      <c r="N43" s="67">
        <v>4000</v>
      </c>
      <c r="O43" s="67">
        <v>4000</v>
      </c>
      <c r="P43" s="217">
        <v>9000</v>
      </c>
      <c r="Q43" s="217">
        <v>10000</v>
      </c>
      <c r="R43" s="68"/>
      <c r="S43" s="68"/>
      <c r="T43" s="67">
        <f t="shared" si="14"/>
        <v>0</v>
      </c>
      <c r="U43" s="67"/>
      <c r="V43" s="67">
        <f t="shared" si="15"/>
        <v>27000</v>
      </c>
      <c r="W43" s="67"/>
      <c r="X43" s="317"/>
    </row>
    <row r="44" spans="1:24" ht="17.25" customHeight="1" outlineLevel="1">
      <c r="A44" s="48"/>
      <c r="B44" s="58"/>
      <c r="C44" s="59"/>
      <c r="D44" s="59"/>
      <c r="E44" s="60"/>
      <c r="F44" s="60"/>
      <c r="G44" s="61" t="s">
        <v>34</v>
      </c>
      <c r="H44" s="62"/>
      <c r="I44" s="63"/>
      <c r="J44" s="64"/>
      <c r="K44" s="212"/>
      <c r="L44" s="209"/>
      <c r="M44" s="69">
        <v>14</v>
      </c>
      <c r="N44" s="67">
        <v>1400</v>
      </c>
      <c r="O44" s="67">
        <v>1350</v>
      </c>
      <c r="P44" s="67">
        <v>1450</v>
      </c>
      <c r="Q44" s="67">
        <v>1100</v>
      </c>
      <c r="R44" s="68"/>
      <c r="S44" s="68"/>
      <c r="T44" s="67">
        <f t="shared" si="14"/>
        <v>14</v>
      </c>
      <c r="U44" s="67"/>
      <c r="V44" s="67">
        <f t="shared" si="15"/>
        <v>5300</v>
      </c>
      <c r="W44" s="67"/>
      <c r="X44" s="317"/>
    </row>
    <row r="45" spans="1:24" ht="17.25" customHeight="1" outlineLevel="1">
      <c r="A45" s="48"/>
      <c r="B45" s="58"/>
      <c r="C45" s="59"/>
      <c r="D45" s="59"/>
      <c r="E45" s="60"/>
      <c r="F45" s="60"/>
      <c r="G45" s="61" t="s">
        <v>35</v>
      </c>
      <c r="H45" s="62"/>
      <c r="I45" s="63"/>
      <c r="J45" s="64"/>
      <c r="K45" s="212"/>
      <c r="L45" s="209"/>
      <c r="M45" s="69"/>
      <c r="N45" s="67">
        <v>1350</v>
      </c>
      <c r="O45" s="67">
        <v>1350</v>
      </c>
      <c r="P45" s="67">
        <v>1500</v>
      </c>
      <c r="Q45" s="67">
        <v>1700</v>
      </c>
      <c r="R45" s="68"/>
      <c r="S45" s="68"/>
      <c r="T45" s="67">
        <f t="shared" si="14"/>
        <v>0</v>
      </c>
      <c r="U45" s="67"/>
      <c r="V45" s="67">
        <f t="shared" si="15"/>
        <v>5900</v>
      </c>
      <c r="W45" s="67"/>
      <c r="X45" s="317"/>
    </row>
    <row r="46" spans="1:24" ht="17.25" customHeight="1" outlineLevel="1">
      <c r="A46" s="48"/>
      <c r="B46" s="58"/>
      <c r="C46" s="59"/>
      <c r="D46" s="59"/>
      <c r="E46" s="60"/>
      <c r="F46" s="60"/>
      <c r="G46" s="61" t="s">
        <v>36</v>
      </c>
      <c r="H46" s="62"/>
      <c r="I46" s="63"/>
      <c r="J46" s="64"/>
      <c r="K46" s="212"/>
      <c r="L46" s="209"/>
      <c r="M46" s="69"/>
      <c r="N46" s="67"/>
      <c r="O46" s="67"/>
      <c r="P46" s="67"/>
      <c r="Q46" s="67"/>
      <c r="R46" s="68"/>
      <c r="S46" s="68"/>
      <c r="T46" s="67">
        <f t="shared" si="14"/>
        <v>0</v>
      </c>
      <c r="U46" s="67"/>
      <c r="V46" s="67">
        <f t="shared" si="15"/>
        <v>0</v>
      </c>
      <c r="W46" s="67">
        <f>SUM(L46:S46)</f>
        <v>0</v>
      </c>
      <c r="X46" s="317"/>
    </row>
    <row r="47" spans="1:24" ht="17.25" customHeight="1" outlineLevel="1">
      <c r="A47" s="48"/>
      <c r="B47" s="58"/>
      <c r="C47" s="59"/>
      <c r="D47" s="59"/>
      <c r="E47" s="60"/>
      <c r="F47" s="60"/>
      <c r="G47" s="61" t="s">
        <v>37</v>
      </c>
      <c r="H47" s="62"/>
      <c r="I47" s="63"/>
      <c r="J47" s="64"/>
      <c r="K47" s="212"/>
      <c r="L47" s="215"/>
      <c r="M47" s="66"/>
      <c r="N47" s="68"/>
      <c r="O47" s="68"/>
      <c r="P47" s="68"/>
      <c r="Q47" s="68"/>
      <c r="R47" s="68"/>
      <c r="S47" s="68"/>
      <c r="T47" s="67">
        <f t="shared" si="14"/>
        <v>0</v>
      </c>
      <c r="U47" s="67"/>
      <c r="V47" s="67">
        <f t="shared" si="15"/>
        <v>0</v>
      </c>
      <c r="W47" s="67"/>
      <c r="X47" s="317"/>
    </row>
    <row r="48" spans="1:24" ht="21" customHeight="1">
      <c r="A48" s="19"/>
      <c r="B48" s="39">
        <v>2</v>
      </c>
      <c r="C48" s="70" t="s">
        <v>38</v>
      </c>
      <c r="D48" s="42"/>
      <c r="E48" s="71"/>
      <c r="F48" s="71"/>
      <c r="G48" s="71"/>
      <c r="H48" s="71"/>
      <c r="I48" s="73"/>
      <c r="J48" s="74"/>
      <c r="K48" s="220"/>
      <c r="L48" s="221"/>
      <c r="M48" s="73"/>
      <c r="N48" s="73"/>
      <c r="O48" s="73"/>
      <c r="P48" s="73"/>
      <c r="Q48" s="73"/>
      <c r="R48" s="73"/>
      <c r="S48" s="73"/>
      <c r="T48" s="47">
        <f t="shared" ref="T48:W48" si="16">T56+T63+T70+T49</f>
        <v>96353.276511762262</v>
      </c>
      <c r="U48" s="47">
        <f t="shared" si="16"/>
        <v>0</v>
      </c>
      <c r="V48" s="47">
        <f t="shared" si="16"/>
        <v>45954</v>
      </c>
      <c r="W48" s="47">
        <f t="shared" si="16"/>
        <v>0</v>
      </c>
      <c r="X48" s="47"/>
    </row>
    <row r="49" spans="1:24" ht="15.75" customHeight="1" outlineLevel="1">
      <c r="A49" s="48"/>
      <c r="B49" s="222">
        <v>2</v>
      </c>
      <c r="C49" s="332" t="s">
        <v>89</v>
      </c>
      <c r="D49" s="330"/>
      <c r="E49" s="116">
        <v>45658</v>
      </c>
      <c r="F49" s="116">
        <v>45746</v>
      </c>
      <c r="G49" s="172"/>
      <c r="H49" s="57"/>
      <c r="I49" s="57"/>
      <c r="J49" s="169"/>
      <c r="K49" s="179"/>
      <c r="L49" s="223"/>
      <c r="M49" s="57"/>
      <c r="N49" s="57"/>
      <c r="O49" s="57"/>
      <c r="P49" s="57"/>
      <c r="Q49" s="57"/>
      <c r="R49" s="57"/>
      <c r="S49" s="57"/>
      <c r="T49" s="57">
        <f t="shared" ref="T49:W49" si="17">SUM(T50:T55)</f>
        <v>11929</v>
      </c>
      <c r="U49" s="57">
        <f t="shared" si="17"/>
        <v>0</v>
      </c>
      <c r="V49" s="57">
        <f t="shared" si="17"/>
        <v>0</v>
      </c>
      <c r="W49" s="57">
        <f t="shared" si="17"/>
        <v>0</v>
      </c>
      <c r="X49" s="316"/>
    </row>
    <row r="50" spans="1:24" ht="17.25" customHeight="1" outlineLevel="2">
      <c r="A50" s="48"/>
      <c r="B50" s="58"/>
      <c r="C50" s="59"/>
      <c r="D50" s="59"/>
      <c r="E50" s="60"/>
      <c r="F50" s="60"/>
      <c r="G50" s="61" t="s">
        <v>32</v>
      </c>
      <c r="H50" s="110">
        <v>294</v>
      </c>
      <c r="I50" s="110">
        <v>2169</v>
      </c>
      <c r="J50" s="224">
        <v>949</v>
      </c>
      <c r="K50" s="206"/>
      <c r="L50" s="209"/>
      <c r="M50" s="69"/>
      <c r="N50" s="69"/>
      <c r="O50" s="69"/>
      <c r="P50" s="69"/>
      <c r="Q50" s="69"/>
      <c r="R50" s="69"/>
      <c r="S50" s="69"/>
      <c r="T50" s="130">
        <f t="shared" ref="T50:T55" si="18">SUM(H50:M50)</f>
        <v>3412</v>
      </c>
      <c r="U50" s="69"/>
      <c r="V50" s="69">
        <f t="shared" ref="V50:V55" si="19">SUM(L50:S50)</f>
        <v>0</v>
      </c>
      <c r="W50" s="69"/>
      <c r="X50" s="317"/>
    </row>
    <row r="51" spans="1:24" ht="17.25" customHeight="1" outlineLevel="2">
      <c r="A51" s="48"/>
      <c r="B51" s="58"/>
      <c r="C51" s="59"/>
      <c r="D51" s="59"/>
      <c r="E51" s="60"/>
      <c r="F51" s="60"/>
      <c r="G51" s="61" t="s">
        <v>33</v>
      </c>
      <c r="H51" s="69"/>
      <c r="I51" s="69"/>
      <c r="J51" s="149"/>
      <c r="K51" s="206"/>
      <c r="L51" s="209"/>
      <c r="M51" s="69"/>
      <c r="N51" s="69"/>
      <c r="O51" s="69"/>
      <c r="P51" s="69"/>
      <c r="Q51" s="69"/>
      <c r="R51" s="69"/>
      <c r="S51" s="69"/>
      <c r="T51" s="130">
        <f t="shared" si="18"/>
        <v>0</v>
      </c>
      <c r="U51" s="69"/>
      <c r="V51" s="69">
        <f t="shared" si="19"/>
        <v>0</v>
      </c>
      <c r="W51" s="69"/>
      <c r="X51" s="317"/>
    </row>
    <row r="52" spans="1:24" ht="17.25" customHeight="1" outlineLevel="2">
      <c r="A52" s="48"/>
      <c r="B52" s="58"/>
      <c r="C52" s="59"/>
      <c r="D52" s="59"/>
      <c r="E52" s="60"/>
      <c r="F52" s="60"/>
      <c r="G52" s="61" t="s">
        <v>34</v>
      </c>
      <c r="H52" s="69">
        <v>146</v>
      </c>
      <c r="I52" s="69">
        <v>1604</v>
      </c>
      <c r="J52" s="149">
        <v>1118</v>
      </c>
      <c r="K52" s="206"/>
      <c r="L52" s="209"/>
      <c r="M52" s="69"/>
      <c r="N52" s="69"/>
      <c r="O52" s="69"/>
      <c r="P52" s="69"/>
      <c r="Q52" s="69"/>
      <c r="R52" s="69"/>
      <c r="S52" s="69"/>
      <c r="T52" s="130">
        <f t="shared" si="18"/>
        <v>2868</v>
      </c>
      <c r="U52" s="69"/>
      <c r="V52" s="69">
        <f t="shared" si="19"/>
        <v>0</v>
      </c>
      <c r="W52" s="69"/>
      <c r="X52" s="317"/>
    </row>
    <row r="53" spans="1:24" ht="17.25" customHeight="1" outlineLevel="2">
      <c r="A53" s="48"/>
      <c r="B53" s="58"/>
      <c r="C53" s="59"/>
      <c r="D53" s="59"/>
      <c r="E53" s="60"/>
      <c r="F53" s="60"/>
      <c r="G53" s="61" t="s">
        <v>35</v>
      </c>
      <c r="H53" s="69"/>
      <c r="I53" s="69">
        <v>2093</v>
      </c>
      <c r="J53" s="149">
        <v>2534</v>
      </c>
      <c r="K53" s="206"/>
      <c r="L53" s="209"/>
      <c r="M53" s="69"/>
      <c r="N53" s="69"/>
      <c r="O53" s="69"/>
      <c r="P53" s="69"/>
      <c r="Q53" s="69"/>
      <c r="R53" s="69"/>
      <c r="S53" s="69"/>
      <c r="T53" s="130">
        <f t="shared" si="18"/>
        <v>4627</v>
      </c>
      <c r="U53" s="69"/>
      <c r="V53" s="69">
        <f t="shared" si="19"/>
        <v>0</v>
      </c>
      <c r="W53" s="69"/>
      <c r="X53" s="317"/>
    </row>
    <row r="54" spans="1:24" ht="17.25" customHeight="1" outlineLevel="2">
      <c r="A54" s="48"/>
      <c r="B54" s="58"/>
      <c r="C54" s="59"/>
      <c r="D54" s="59"/>
      <c r="E54" s="60"/>
      <c r="F54" s="60"/>
      <c r="G54" s="61" t="s">
        <v>36</v>
      </c>
      <c r="H54" s="69"/>
      <c r="I54" s="69"/>
      <c r="J54" s="149"/>
      <c r="K54" s="206"/>
      <c r="L54" s="209"/>
      <c r="M54" s="69"/>
      <c r="N54" s="69"/>
      <c r="O54" s="69"/>
      <c r="P54" s="69"/>
      <c r="Q54" s="69"/>
      <c r="R54" s="69"/>
      <c r="S54" s="69"/>
      <c r="T54" s="130">
        <f t="shared" si="18"/>
        <v>0</v>
      </c>
      <c r="U54" s="69"/>
      <c r="V54" s="69">
        <f t="shared" si="19"/>
        <v>0</v>
      </c>
      <c r="W54" s="69"/>
      <c r="X54" s="317"/>
    </row>
    <row r="55" spans="1:24" ht="17.25" customHeight="1" outlineLevel="2">
      <c r="A55" s="48"/>
      <c r="B55" s="58"/>
      <c r="C55" s="59"/>
      <c r="D55" s="59"/>
      <c r="E55" s="60"/>
      <c r="F55" s="60"/>
      <c r="G55" s="61" t="s">
        <v>90</v>
      </c>
      <c r="H55" s="69"/>
      <c r="I55" s="69">
        <v>511</v>
      </c>
      <c r="J55" s="149">
        <v>511</v>
      </c>
      <c r="K55" s="206"/>
      <c r="L55" s="209"/>
      <c r="M55" s="69"/>
      <c r="N55" s="69"/>
      <c r="O55" s="69"/>
      <c r="P55" s="69"/>
      <c r="Q55" s="69"/>
      <c r="R55" s="69"/>
      <c r="S55" s="69"/>
      <c r="T55" s="130">
        <f t="shared" si="18"/>
        <v>1022</v>
      </c>
      <c r="U55" s="69"/>
      <c r="V55" s="69">
        <f t="shared" si="19"/>
        <v>0</v>
      </c>
      <c r="W55" s="69"/>
      <c r="X55" s="317"/>
    </row>
    <row r="56" spans="1:24" ht="17.25" customHeight="1" outlineLevel="1">
      <c r="A56" s="76"/>
      <c r="B56" s="77">
        <v>2.1</v>
      </c>
      <c r="C56" s="358" t="s">
        <v>39</v>
      </c>
      <c r="D56" s="340"/>
      <c r="E56" s="78">
        <v>45750</v>
      </c>
      <c r="F56" s="79">
        <v>45838</v>
      </c>
      <c r="G56" s="80"/>
      <c r="H56" s="81"/>
      <c r="I56" s="82"/>
      <c r="J56" s="83"/>
      <c r="K56" s="96"/>
      <c r="L56" s="203"/>
      <c r="M56" s="225"/>
      <c r="N56" s="226"/>
      <c r="O56" s="86"/>
      <c r="P56" s="86"/>
      <c r="Q56" s="86"/>
      <c r="R56" s="86"/>
      <c r="S56" s="86"/>
      <c r="T56" s="87">
        <f t="shared" ref="T56:W56" si="20">SUM(T57:T62)</f>
        <v>36624</v>
      </c>
      <c r="U56" s="87">
        <f t="shared" si="20"/>
        <v>0</v>
      </c>
      <c r="V56" s="87">
        <f t="shared" si="20"/>
        <v>0</v>
      </c>
      <c r="W56" s="87">
        <f t="shared" si="20"/>
        <v>0</v>
      </c>
      <c r="X56" s="319"/>
    </row>
    <row r="57" spans="1:24" ht="17.25" customHeight="1" outlineLevel="2">
      <c r="A57" s="48"/>
      <c r="B57" s="58"/>
      <c r="C57" s="59"/>
      <c r="D57" s="59"/>
      <c r="E57" s="60"/>
      <c r="F57" s="60"/>
      <c r="G57" s="61" t="s">
        <v>32</v>
      </c>
      <c r="H57" s="62"/>
      <c r="I57" s="63"/>
      <c r="J57" s="64"/>
      <c r="K57" s="227">
        <v>10824</v>
      </c>
      <c r="L57" s="209"/>
      <c r="M57" s="69"/>
      <c r="N57" s="67"/>
      <c r="O57" s="67"/>
      <c r="P57" s="67"/>
      <c r="Q57" s="67"/>
      <c r="R57" s="68"/>
      <c r="S57" s="68"/>
      <c r="T57" s="67">
        <f t="shared" ref="T57:T62" si="21">SUM(H57:M57)</f>
        <v>10824</v>
      </c>
      <c r="U57" s="67"/>
      <c r="V57" s="67">
        <f t="shared" ref="V57:V62" si="22">SUM(N57:S57)</f>
        <v>0</v>
      </c>
      <c r="W57" s="67"/>
      <c r="X57" s="317"/>
    </row>
    <row r="58" spans="1:24" ht="17.25" customHeight="1" outlineLevel="2">
      <c r="A58" s="48"/>
      <c r="B58" s="58"/>
      <c r="C58" s="59"/>
      <c r="D58" s="59"/>
      <c r="E58" s="60"/>
      <c r="F58" s="60"/>
      <c r="G58" s="61" t="s">
        <v>33</v>
      </c>
      <c r="H58" s="62"/>
      <c r="I58" s="63"/>
      <c r="J58" s="64"/>
      <c r="K58" s="206">
        <v>535</v>
      </c>
      <c r="L58" s="209">
        <v>805</v>
      </c>
      <c r="M58" s="69">
        <v>1150</v>
      </c>
      <c r="N58" s="67"/>
      <c r="O58" s="67"/>
      <c r="P58" s="67"/>
      <c r="Q58" s="67"/>
      <c r="R58" s="68"/>
      <c r="S58" s="68"/>
      <c r="T58" s="67">
        <f t="shared" si="21"/>
        <v>2490</v>
      </c>
      <c r="U58" s="67"/>
      <c r="V58" s="67">
        <f t="shared" si="22"/>
        <v>0</v>
      </c>
      <c r="W58" s="67"/>
      <c r="X58" s="317"/>
    </row>
    <row r="59" spans="1:24" ht="17.25" customHeight="1" outlineLevel="2">
      <c r="A59" s="48"/>
      <c r="B59" s="58"/>
      <c r="C59" s="59"/>
      <c r="D59" s="59"/>
      <c r="E59" s="60"/>
      <c r="F59" s="60"/>
      <c r="G59" s="61" t="s">
        <v>34</v>
      </c>
      <c r="H59" s="62"/>
      <c r="I59" s="63"/>
      <c r="J59" s="64"/>
      <c r="K59" s="206">
        <v>3539</v>
      </c>
      <c r="L59" s="209">
        <v>7125</v>
      </c>
      <c r="M59" s="69">
        <v>3395</v>
      </c>
      <c r="N59" s="67"/>
      <c r="O59" s="67"/>
      <c r="P59" s="67"/>
      <c r="Q59" s="67"/>
      <c r="R59" s="68"/>
      <c r="S59" s="68"/>
      <c r="T59" s="67">
        <f t="shared" si="21"/>
        <v>14059</v>
      </c>
      <c r="U59" s="67"/>
      <c r="V59" s="67">
        <f t="shared" si="22"/>
        <v>0</v>
      </c>
      <c r="W59" s="67"/>
      <c r="X59" s="317"/>
    </row>
    <row r="60" spans="1:24" ht="17.25" customHeight="1" outlineLevel="2">
      <c r="A60" s="48"/>
      <c r="B60" s="58"/>
      <c r="C60" s="59"/>
      <c r="D60" s="59"/>
      <c r="E60" s="60"/>
      <c r="F60" s="60"/>
      <c r="G60" s="61" t="s">
        <v>35</v>
      </c>
      <c r="H60" s="62"/>
      <c r="I60" s="63"/>
      <c r="J60" s="64"/>
      <c r="K60" s="206">
        <v>3243</v>
      </c>
      <c r="L60" s="209">
        <v>2505</v>
      </c>
      <c r="M60" s="69">
        <v>1396</v>
      </c>
      <c r="N60" s="67"/>
      <c r="O60" s="67"/>
      <c r="P60" s="67"/>
      <c r="Q60" s="67"/>
      <c r="R60" s="68"/>
      <c r="S60" s="68"/>
      <c r="T60" s="67">
        <f t="shared" si="21"/>
        <v>7144</v>
      </c>
      <c r="U60" s="67"/>
      <c r="V60" s="67">
        <f t="shared" si="22"/>
        <v>0</v>
      </c>
      <c r="W60" s="67"/>
      <c r="X60" s="317"/>
    </row>
    <row r="61" spans="1:24" ht="17.25" customHeight="1" outlineLevel="2">
      <c r="A61" s="48"/>
      <c r="B61" s="58"/>
      <c r="C61" s="59"/>
      <c r="D61" s="59"/>
      <c r="E61" s="60"/>
      <c r="F61" s="60"/>
      <c r="G61" s="61" t="s">
        <v>36</v>
      </c>
      <c r="H61" s="62"/>
      <c r="I61" s="63"/>
      <c r="J61" s="64"/>
      <c r="K61" s="206">
        <v>752</v>
      </c>
      <c r="L61" s="209">
        <v>1355</v>
      </c>
      <c r="M61" s="69"/>
      <c r="N61" s="67"/>
      <c r="O61" s="67"/>
      <c r="P61" s="67"/>
      <c r="Q61" s="67"/>
      <c r="R61" s="68"/>
      <c r="S61" s="68"/>
      <c r="T61" s="67">
        <f t="shared" si="21"/>
        <v>2107</v>
      </c>
      <c r="U61" s="67"/>
      <c r="V61" s="67">
        <f t="shared" si="22"/>
        <v>0</v>
      </c>
      <c r="W61" s="67"/>
      <c r="X61" s="317"/>
    </row>
    <row r="62" spans="1:24" ht="17.25" customHeight="1" outlineLevel="2">
      <c r="A62" s="48"/>
      <c r="B62" s="58"/>
      <c r="C62" s="59"/>
      <c r="D62" s="59"/>
      <c r="E62" s="60"/>
      <c r="F62" s="60"/>
      <c r="G62" s="61" t="s">
        <v>37</v>
      </c>
      <c r="H62" s="62"/>
      <c r="I62" s="63"/>
      <c r="J62" s="64"/>
      <c r="K62" s="212"/>
      <c r="L62" s="209"/>
      <c r="M62" s="69"/>
      <c r="N62" s="67"/>
      <c r="O62" s="67"/>
      <c r="P62" s="67"/>
      <c r="Q62" s="67"/>
      <c r="R62" s="68"/>
      <c r="S62" s="68"/>
      <c r="T62" s="67">
        <f t="shared" si="21"/>
        <v>0</v>
      </c>
      <c r="U62" s="67"/>
      <c r="V62" s="67">
        <f t="shared" si="22"/>
        <v>0</v>
      </c>
      <c r="W62" s="67"/>
      <c r="X62" s="317"/>
    </row>
    <row r="63" spans="1:24" ht="17.25" customHeight="1" outlineLevel="1">
      <c r="A63" s="76"/>
      <c r="B63" s="77">
        <v>2.2000000000000002</v>
      </c>
      <c r="C63" s="358" t="s">
        <v>40</v>
      </c>
      <c r="D63" s="340"/>
      <c r="E63" s="89">
        <v>45786</v>
      </c>
      <c r="F63" s="79">
        <v>45823</v>
      </c>
      <c r="G63" s="90"/>
      <c r="H63" s="81"/>
      <c r="I63" s="82"/>
      <c r="J63" s="83"/>
      <c r="K63" s="96"/>
      <c r="L63" s="203"/>
      <c r="M63" s="225"/>
      <c r="N63" s="226"/>
      <c r="O63" s="86"/>
      <c r="P63" s="86"/>
      <c r="Q63" s="86"/>
      <c r="R63" s="86"/>
      <c r="S63" s="86"/>
      <c r="T63" s="91">
        <f t="shared" ref="T63:W63" si="23">SUM(T64:T69)</f>
        <v>47800.276511762269</v>
      </c>
      <c r="U63" s="91">
        <f t="shared" si="23"/>
        <v>0</v>
      </c>
      <c r="V63" s="91">
        <f t="shared" si="23"/>
        <v>0</v>
      </c>
      <c r="W63" s="91">
        <f t="shared" si="23"/>
        <v>0</v>
      </c>
      <c r="X63" s="316"/>
    </row>
    <row r="64" spans="1:24" ht="17.25" customHeight="1" outlineLevel="2">
      <c r="A64" s="48"/>
      <c r="B64" s="58"/>
      <c r="C64" s="59"/>
      <c r="D64" s="59"/>
      <c r="E64" s="60"/>
      <c r="F64" s="60"/>
      <c r="G64" s="61" t="s">
        <v>32</v>
      </c>
      <c r="H64" s="62"/>
      <c r="I64" s="63"/>
      <c r="J64" s="64"/>
      <c r="K64" s="227">
        <v>4813</v>
      </c>
      <c r="L64" s="228">
        <v>16341</v>
      </c>
      <c r="M64" s="110">
        <v>4993.2765117622703</v>
      </c>
      <c r="N64" s="67"/>
      <c r="O64" s="67"/>
      <c r="P64" s="67"/>
      <c r="Q64" s="67"/>
      <c r="R64" s="68"/>
      <c r="S64" s="68"/>
      <c r="T64" s="67">
        <f t="shared" ref="T64:T69" si="24">SUM(H64:M64)</f>
        <v>26147.276511762269</v>
      </c>
      <c r="U64" s="67"/>
      <c r="V64" s="67">
        <f t="shared" ref="V64:V69" si="25">SUM(N64:S64)</f>
        <v>0</v>
      </c>
      <c r="W64" s="67"/>
      <c r="X64" s="317"/>
    </row>
    <row r="65" spans="1:24" ht="17.25" customHeight="1" outlineLevel="2">
      <c r="A65" s="48"/>
      <c r="B65" s="58"/>
      <c r="C65" s="59"/>
      <c r="D65" s="59"/>
      <c r="E65" s="60"/>
      <c r="F65" s="60"/>
      <c r="G65" s="61" t="s">
        <v>33</v>
      </c>
      <c r="H65" s="62"/>
      <c r="I65" s="63"/>
      <c r="J65" s="64"/>
      <c r="K65" s="206"/>
      <c r="L65" s="209">
        <v>3343</v>
      </c>
      <c r="M65" s="69">
        <v>2878</v>
      </c>
      <c r="N65" s="67"/>
      <c r="O65" s="67"/>
      <c r="P65" s="67"/>
      <c r="Q65" s="67"/>
      <c r="R65" s="68"/>
      <c r="S65" s="68"/>
      <c r="T65" s="67">
        <f t="shared" si="24"/>
        <v>6221</v>
      </c>
      <c r="U65" s="67"/>
      <c r="V65" s="67">
        <f t="shared" si="25"/>
        <v>0</v>
      </c>
      <c r="W65" s="67"/>
      <c r="X65" s="317"/>
    </row>
    <row r="66" spans="1:24" ht="17.25" customHeight="1" outlineLevel="2">
      <c r="A66" s="48"/>
      <c r="B66" s="58"/>
      <c r="C66" s="59"/>
      <c r="D66" s="59"/>
      <c r="E66" s="60"/>
      <c r="F66" s="60"/>
      <c r="G66" s="61" t="s">
        <v>34</v>
      </c>
      <c r="H66" s="62"/>
      <c r="I66" s="63"/>
      <c r="J66" s="64"/>
      <c r="K66" s="206"/>
      <c r="L66" s="210">
        <v>2507</v>
      </c>
      <c r="M66" s="92">
        <v>1610</v>
      </c>
      <c r="N66" s="67"/>
      <c r="O66" s="67"/>
      <c r="P66" s="67"/>
      <c r="Q66" s="67"/>
      <c r="R66" s="68"/>
      <c r="S66" s="68"/>
      <c r="T66" s="67">
        <f t="shared" si="24"/>
        <v>4117</v>
      </c>
      <c r="U66" s="67"/>
      <c r="V66" s="67">
        <f t="shared" si="25"/>
        <v>0</v>
      </c>
      <c r="W66" s="67"/>
      <c r="X66" s="317"/>
    </row>
    <row r="67" spans="1:24" ht="17.25" customHeight="1" outlineLevel="2">
      <c r="A67" s="48"/>
      <c r="B67" s="58"/>
      <c r="C67" s="59"/>
      <c r="D67" s="59"/>
      <c r="E67" s="60"/>
      <c r="F67" s="60"/>
      <c r="G67" s="61" t="s">
        <v>35</v>
      </c>
      <c r="H67" s="62"/>
      <c r="I67" s="63"/>
      <c r="J67" s="64"/>
      <c r="K67" s="206"/>
      <c r="L67" s="210">
        <v>6746</v>
      </c>
      <c r="M67" s="92">
        <v>4569</v>
      </c>
      <c r="N67" s="67"/>
      <c r="O67" s="67"/>
      <c r="P67" s="67"/>
      <c r="Q67" s="67"/>
      <c r="R67" s="68"/>
      <c r="S67" s="68"/>
      <c r="T67" s="67">
        <f t="shared" si="24"/>
        <v>11315</v>
      </c>
      <c r="U67" s="67"/>
      <c r="V67" s="67">
        <f t="shared" si="25"/>
        <v>0</v>
      </c>
      <c r="W67" s="67"/>
      <c r="X67" s="317"/>
    </row>
    <row r="68" spans="1:24" ht="17.25" customHeight="1" outlineLevel="2">
      <c r="A68" s="48"/>
      <c r="B68" s="58"/>
      <c r="C68" s="59"/>
      <c r="D68" s="59"/>
      <c r="E68" s="60"/>
      <c r="F68" s="60"/>
      <c r="G68" s="61" t="s">
        <v>36</v>
      </c>
      <c r="H68" s="62"/>
      <c r="I68" s="63"/>
      <c r="J68" s="64"/>
      <c r="K68" s="206"/>
      <c r="L68" s="209"/>
      <c r="M68" s="69"/>
      <c r="N68" s="67"/>
      <c r="O68" s="67"/>
      <c r="P68" s="67"/>
      <c r="Q68" s="67"/>
      <c r="R68" s="68"/>
      <c r="S68" s="68"/>
      <c r="T68" s="67">
        <f t="shared" si="24"/>
        <v>0</v>
      </c>
      <c r="U68" s="67"/>
      <c r="V68" s="67">
        <f t="shared" si="25"/>
        <v>0</v>
      </c>
      <c r="W68" s="67">
        <f>SUM(L68:S68)</f>
        <v>0</v>
      </c>
      <c r="X68" s="317"/>
    </row>
    <row r="69" spans="1:24" ht="17.25" customHeight="1" outlineLevel="2">
      <c r="A69" s="48"/>
      <c r="B69" s="58"/>
      <c r="C69" s="59"/>
      <c r="D69" s="59"/>
      <c r="E69" s="60"/>
      <c r="F69" s="60"/>
      <c r="G69" s="61" t="s">
        <v>37</v>
      </c>
      <c r="H69" s="62"/>
      <c r="I69" s="63"/>
      <c r="J69" s="64"/>
      <c r="K69" s="212"/>
      <c r="L69" s="209"/>
      <c r="M69" s="69"/>
      <c r="N69" s="67"/>
      <c r="O69" s="67"/>
      <c r="P69" s="67"/>
      <c r="Q69" s="67"/>
      <c r="R69" s="68"/>
      <c r="S69" s="68"/>
      <c r="T69" s="67">
        <f t="shared" si="24"/>
        <v>0</v>
      </c>
      <c r="U69" s="67"/>
      <c r="V69" s="67">
        <f t="shared" si="25"/>
        <v>0</v>
      </c>
      <c r="W69" s="67"/>
      <c r="X69" s="317"/>
    </row>
    <row r="70" spans="1:24" ht="17.25" customHeight="1" outlineLevel="1">
      <c r="A70" s="76"/>
      <c r="B70" s="77">
        <v>2.2999999999999998</v>
      </c>
      <c r="C70" s="358" t="s">
        <v>41</v>
      </c>
      <c r="D70" s="340"/>
      <c r="E70" s="78">
        <v>45845</v>
      </c>
      <c r="F70" s="77" t="s">
        <v>77</v>
      </c>
      <c r="G70" s="80"/>
      <c r="H70" s="94"/>
      <c r="I70" s="95"/>
      <c r="J70" s="96"/>
      <c r="K70" s="96"/>
      <c r="L70" s="203"/>
      <c r="M70" s="204"/>
      <c r="N70" s="205"/>
      <c r="O70" s="99"/>
      <c r="P70" s="99"/>
      <c r="Q70" s="99"/>
      <c r="R70" s="99"/>
      <c r="S70" s="99"/>
      <c r="T70" s="91">
        <f t="shared" ref="T70:W70" si="26">SUM(T71:T76)</f>
        <v>0</v>
      </c>
      <c r="U70" s="91">
        <f t="shared" si="26"/>
        <v>0</v>
      </c>
      <c r="V70" s="91">
        <f t="shared" si="26"/>
        <v>45954</v>
      </c>
      <c r="W70" s="91">
        <f t="shared" si="26"/>
        <v>0</v>
      </c>
      <c r="X70" s="316"/>
    </row>
    <row r="71" spans="1:24" ht="17.25" customHeight="1" outlineLevel="2">
      <c r="A71" s="48"/>
      <c r="B71" s="58"/>
      <c r="C71" s="59"/>
      <c r="D71" s="59"/>
      <c r="E71" s="60"/>
      <c r="F71" s="60"/>
      <c r="G71" s="61" t="s">
        <v>32</v>
      </c>
      <c r="H71" s="62"/>
      <c r="I71" s="63"/>
      <c r="J71" s="64"/>
      <c r="K71" s="206"/>
      <c r="L71" s="207"/>
      <c r="M71" s="208"/>
      <c r="N71" s="103">
        <v>4602</v>
      </c>
      <c r="O71" s="103">
        <v>4602</v>
      </c>
      <c r="P71" s="67"/>
      <c r="Q71" s="67"/>
      <c r="R71" s="68"/>
      <c r="S71" s="68"/>
      <c r="T71" s="67"/>
      <c r="U71" s="67"/>
      <c r="V71" s="67">
        <f t="shared" ref="V71:V76" si="27">SUM(N71:S71)</f>
        <v>9204</v>
      </c>
      <c r="W71" s="67"/>
      <c r="X71" s="317"/>
    </row>
    <row r="72" spans="1:24" ht="17.25" customHeight="1" outlineLevel="2">
      <c r="A72" s="48"/>
      <c r="B72" s="58"/>
      <c r="C72" s="59"/>
      <c r="D72" s="59"/>
      <c r="E72" s="60"/>
      <c r="F72" s="60"/>
      <c r="G72" s="61" t="s">
        <v>33</v>
      </c>
      <c r="H72" s="62"/>
      <c r="I72" s="63"/>
      <c r="J72" s="64"/>
      <c r="K72" s="206"/>
      <c r="L72" s="209"/>
      <c r="M72" s="69"/>
      <c r="N72" s="67">
        <v>6880</v>
      </c>
      <c r="O72" s="67">
        <v>6880</v>
      </c>
      <c r="P72" s="229"/>
      <c r="Q72" s="67"/>
      <c r="R72" s="68"/>
      <c r="S72" s="68"/>
      <c r="T72" s="67"/>
      <c r="U72" s="67"/>
      <c r="V72" s="67">
        <f t="shared" si="27"/>
        <v>13760</v>
      </c>
      <c r="W72" s="67"/>
      <c r="X72" s="317"/>
    </row>
    <row r="73" spans="1:24" ht="17.25" customHeight="1" outlineLevel="2">
      <c r="A73" s="48"/>
      <c r="B73" s="58"/>
      <c r="C73" s="59"/>
      <c r="D73" s="59"/>
      <c r="E73" s="60"/>
      <c r="F73" s="60"/>
      <c r="G73" s="61" t="s">
        <v>34</v>
      </c>
      <c r="H73" s="62"/>
      <c r="I73" s="63"/>
      <c r="J73" s="64"/>
      <c r="K73" s="206"/>
      <c r="L73" s="210"/>
      <c r="M73" s="92"/>
      <c r="N73" s="67">
        <v>7320</v>
      </c>
      <c r="O73" s="67">
        <v>7320</v>
      </c>
      <c r="P73" s="229"/>
      <c r="Q73" s="67"/>
      <c r="R73" s="68"/>
      <c r="S73" s="68"/>
      <c r="T73" s="67"/>
      <c r="U73" s="67"/>
      <c r="V73" s="67">
        <f t="shared" si="27"/>
        <v>14640</v>
      </c>
      <c r="W73" s="67"/>
      <c r="X73" s="317"/>
    </row>
    <row r="74" spans="1:24" ht="17.25" customHeight="1" outlineLevel="2">
      <c r="A74" s="48"/>
      <c r="B74" s="58"/>
      <c r="C74" s="59"/>
      <c r="D74" s="59"/>
      <c r="E74" s="60"/>
      <c r="F74" s="60"/>
      <c r="G74" s="61" t="s">
        <v>35</v>
      </c>
      <c r="H74" s="62"/>
      <c r="I74" s="63"/>
      <c r="J74" s="64"/>
      <c r="K74" s="206"/>
      <c r="L74" s="211"/>
      <c r="M74" s="104"/>
      <c r="N74" s="67">
        <v>4250</v>
      </c>
      <c r="O74" s="67">
        <v>4100</v>
      </c>
      <c r="P74" s="229"/>
      <c r="Q74" s="67"/>
      <c r="R74" s="68"/>
      <c r="S74" s="68"/>
      <c r="T74" s="67"/>
      <c r="U74" s="67"/>
      <c r="V74" s="67">
        <f t="shared" si="27"/>
        <v>8350</v>
      </c>
      <c r="W74" s="67"/>
      <c r="X74" s="317"/>
    </row>
    <row r="75" spans="1:24" ht="17.25" customHeight="1" outlineLevel="2">
      <c r="A75" s="48"/>
      <c r="B75" s="58"/>
      <c r="C75" s="59"/>
      <c r="D75" s="59"/>
      <c r="E75" s="60"/>
      <c r="F75" s="60"/>
      <c r="G75" s="61" t="s">
        <v>36</v>
      </c>
      <c r="H75" s="62"/>
      <c r="I75" s="63"/>
      <c r="J75" s="64"/>
      <c r="K75" s="206"/>
      <c r="L75" s="209"/>
      <c r="M75" s="69"/>
      <c r="N75" s="67"/>
      <c r="O75" s="67"/>
      <c r="P75" s="67"/>
      <c r="Q75" s="67"/>
      <c r="R75" s="68"/>
      <c r="S75" s="68"/>
      <c r="T75" s="67"/>
      <c r="U75" s="67"/>
      <c r="V75" s="67">
        <f t="shared" si="27"/>
        <v>0</v>
      </c>
      <c r="W75" s="67">
        <f>SUM(L75:S75)</f>
        <v>0</v>
      </c>
      <c r="X75" s="317"/>
    </row>
    <row r="76" spans="1:24" ht="17.25" customHeight="1" outlineLevel="2">
      <c r="A76" s="48"/>
      <c r="B76" s="58"/>
      <c r="C76" s="59"/>
      <c r="D76" s="59"/>
      <c r="E76" s="60"/>
      <c r="F76" s="60"/>
      <c r="G76" s="61" t="s">
        <v>37</v>
      </c>
      <c r="H76" s="62"/>
      <c r="I76" s="63"/>
      <c r="J76" s="64"/>
      <c r="K76" s="212"/>
      <c r="L76" s="209"/>
      <c r="M76" s="69"/>
      <c r="N76" s="67"/>
      <c r="O76" s="67"/>
      <c r="P76" s="67"/>
      <c r="Q76" s="67"/>
      <c r="R76" s="68"/>
      <c r="S76" s="68"/>
      <c r="T76" s="67"/>
      <c r="U76" s="67"/>
      <c r="V76" s="67">
        <f t="shared" si="27"/>
        <v>0</v>
      </c>
      <c r="W76" s="67"/>
      <c r="X76" s="317"/>
    </row>
    <row r="77" spans="1:24" ht="21" customHeight="1">
      <c r="A77" s="19"/>
      <c r="B77" s="39">
        <v>3</v>
      </c>
      <c r="C77" s="40" t="s">
        <v>44</v>
      </c>
      <c r="D77" s="41"/>
      <c r="E77" s="71"/>
      <c r="F77" s="71"/>
      <c r="G77" s="72"/>
      <c r="H77" s="111"/>
      <c r="I77" s="112"/>
      <c r="J77" s="113"/>
      <c r="K77" s="230"/>
      <c r="L77" s="231"/>
      <c r="M77" s="111"/>
      <c r="N77" s="111"/>
      <c r="O77" s="111"/>
      <c r="P77" s="111"/>
      <c r="Q77" s="111"/>
      <c r="R77" s="111"/>
      <c r="S77" s="111"/>
      <c r="T77" s="115">
        <f t="shared" ref="T77:W77" si="28">T78+T85</f>
        <v>79524.841872759906</v>
      </c>
      <c r="U77" s="115">
        <f t="shared" si="28"/>
        <v>0</v>
      </c>
      <c r="V77" s="115">
        <f t="shared" si="28"/>
        <v>93441</v>
      </c>
      <c r="W77" s="115">
        <f t="shared" si="28"/>
        <v>700</v>
      </c>
      <c r="X77" s="111"/>
    </row>
    <row r="78" spans="1:24" ht="17.25" customHeight="1" outlineLevel="1">
      <c r="A78" s="48"/>
      <c r="B78" s="49">
        <v>3.1</v>
      </c>
      <c r="C78" s="339" t="s">
        <v>145</v>
      </c>
      <c r="D78" s="340"/>
      <c r="E78" s="116">
        <v>45748</v>
      </c>
      <c r="F78" s="50">
        <v>46021</v>
      </c>
      <c r="G78" s="117"/>
      <c r="H78" s="118"/>
      <c r="I78" s="118"/>
      <c r="J78" s="119"/>
      <c r="K78" s="138"/>
      <c r="L78" s="232"/>
      <c r="M78" s="121"/>
      <c r="N78" s="118"/>
      <c r="O78" s="118"/>
      <c r="P78" s="118"/>
      <c r="Q78" s="118"/>
      <c r="R78" s="118"/>
      <c r="S78" s="118"/>
      <c r="T78" s="91">
        <f t="shared" ref="T78:W78" si="29">SUM(T79:T84)</f>
        <v>53728.726862764146</v>
      </c>
      <c r="U78" s="122">
        <f t="shared" si="29"/>
        <v>0</v>
      </c>
      <c r="V78" s="91">
        <f t="shared" si="29"/>
        <v>53653</v>
      </c>
      <c r="W78" s="91">
        <f t="shared" si="29"/>
        <v>700</v>
      </c>
      <c r="X78" s="318"/>
    </row>
    <row r="79" spans="1:24" ht="17.25" customHeight="1" outlineLevel="2">
      <c r="A79" s="48"/>
      <c r="B79" s="58"/>
      <c r="C79" s="123"/>
      <c r="D79" s="123"/>
      <c r="E79" s="124"/>
      <c r="F79" s="60"/>
      <c r="G79" s="61" t="s">
        <v>32</v>
      </c>
      <c r="H79" s="233">
        <v>3289</v>
      </c>
      <c r="I79" s="233">
        <v>3289</v>
      </c>
      <c r="J79" s="233">
        <v>3017</v>
      </c>
      <c r="K79" s="126"/>
      <c r="L79" s="234"/>
      <c r="M79" s="128"/>
      <c r="N79" s="125"/>
      <c r="O79" s="125"/>
      <c r="P79" s="129">
        <v>5662</v>
      </c>
      <c r="Q79" s="129">
        <v>4502</v>
      </c>
      <c r="R79" s="108">
        <v>21789</v>
      </c>
      <c r="S79" s="125"/>
      <c r="T79" s="130">
        <f t="shared" ref="T79:T84" si="30">SUM(H79:M79)</f>
        <v>9595</v>
      </c>
      <c r="U79" s="131"/>
      <c r="V79" s="130">
        <f t="shared" ref="V79:V82" si="31">SUM(N79:S79)</f>
        <v>31953</v>
      </c>
      <c r="W79" s="130"/>
      <c r="X79" s="317"/>
    </row>
    <row r="80" spans="1:24" ht="17.25" customHeight="1" outlineLevel="2">
      <c r="A80" s="48"/>
      <c r="B80" s="58"/>
      <c r="C80" s="123"/>
      <c r="D80" s="123"/>
      <c r="E80" s="124"/>
      <c r="F80" s="60"/>
      <c r="G80" s="61" t="s">
        <v>33</v>
      </c>
      <c r="H80" s="92"/>
      <c r="I80" s="92"/>
      <c r="J80" s="144"/>
      <c r="K80" s="206"/>
      <c r="L80" s="209">
        <v>1857</v>
      </c>
      <c r="M80" s="69">
        <v>2942</v>
      </c>
      <c r="N80" s="69">
        <v>3100</v>
      </c>
      <c r="O80" s="320">
        <v>2000</v>
      </c>
      <c r="P80" s="69"/>
      <c r="Q80" s="69"/>
      <c r="R80" s="69">
        <v>3100</v>
      </c>
      <c r="S80" s="125"/>
      <c r="T80" s="130">
        <f t="shared" si="30"/>
        <v>4799</v>
      </c>
      <c r="U80" s="131"/>
      <c r="V80" s="130">
        <f t="shared" si="31"/>
        <v>8200</v>
      </c>
      <c r="W80" s="130"/>
      <c r="X80" s="317"/>
    </row>
    <row r="81" spans="1:24" ht="17.25" customHeight="1" outlineLevel="2">
      <c r="A81" s="48"/>
      <c r="B81" s="58"/>
      <c r="C81" s="123"/>
      <c r="D81" s="123"/>
      <c r="E81" s="124"/>
      <c r="F81" s="60"/>
      <c r="G81" s="61" t="s">
        <v>34</v>
      </c>
      <c r="H81" s="92">
        <v>2616</v>
      </c>
      <c r="I81" s="92">
        <v>2444</v>
      </c>
      <c r="J81" s="144">
        <v>3577</v>
      </c>
      <c r="K81" s="206">
        <v>1637</v>
      </c>
      <c r="L81" s="210">
        <v>2334</v>
      </c>
      <c r="M81" s="92">
        <v>2901</v>
      </c>
      <c r="N81" s="92">
        <v>1500</v>
      </c>
      <c r="O81" s="321">
        <v>1500</v>
      </c>
      <c r="P81" s="92"/>
      <c r="Q81" s="92"/>
      <c r="R81" s="92">
        <v>1500</v>
      </c>
      <c r="S81" s="125"/>
      <c r="T81" s="130">
        <f t="shared" si="30"/>
        <v>15509</v>
      </c>
      <c r="U81" s="131"/>
      <c r="V81" s="130">
        <f t="shared" si="31"/>
        <v>4500</v>
      </c>
      <c r="W81" s="130"/>
      <c r="X81" s="317"/>
    </row>
    <row r="82" spans="1:24" ht="17.25" customHeight="1" outlineLevel="2">
      <c r="A82" s="48"/>
      <c r="B82" s="58"/>
      <c r="C82" s="123"/>
      <c r="D82" s="123"/>
      <c r="E82" s="124"/>
      <c r="F82" s="60"/>
      <c r="G82" s="61" t="s">
        <v>35</v>
      </c>
      <c r="H82" s="69">
        <v>3914.9619343194449</v>
      </c>
      <c r="I82" s="69">
        <v>4824.0388990863212</v>
      </c>
      <c r="J82" s="69">
        <v>4586</v>
      </c>
      <c r="K82" s="206">
        <v>3247.7260293583799</v>
      </c>
      <c r="L82" s="210">
        <v>2247</v>
      </c>
      <c r="M82" s="92">
        <v>5006</v>
      </c>
      <c r="N82" s="92">
        <v>3500</v>
      </c>
      <c r="O82" s="321">
        <v>2000</v>
      </c>
      <c r="P82" s="92"/>
      <c r="Q82" s="92"/>
      <c r="R82" s="92">
        <v>3500</v>
      </c>
      <c r="S82" s="125"/>
      <c r="T82" s="130">
        <f t="shared" si="30"/>
        <v>23825.726862764146</v>
      </c>
      <c r="U82" s="131"/>
      <c r="V82" s="130">
        <f t="shared" si="31"/>
        <v>9000</v>
      </c>
      <c r="W82" s="130"/>
      <c r="X82" s="317"/>
    </row>
    <row r="83" spans="1:24" ht="17.25" customHeight="1" outlineLevel="2">
      <c r="A83" s="48"/>
      <c r="B83" s="58"/>
      <c r="C83" s="123"/>
      <c r="D83" s="123"/>
      <c r="E83" s="124"/>
      <c r="F83" s="60"/>
      <c r="G83" s="61" t="s">
        <v>36</v>
      </c>
      <c r="H83" s="125"/>
      <c r="I83" s="125"/>
      <c r="J83" s="126"/>
      <c r="K83" s="126"/>
      <c r="L83" s="234"/>
      <c r="M83" s="128"/>
      <c r="N83" s="125"/>
      <c r="O83" s="125"/>
      <c r="P83" s="130"/>
      <c r="Q83" s="125"/>
      <c r="R83" s="67">
        <v>700</v>
      </c>
      <c r="S83" s="125"/>
      <c r="T83" s="130">
        <f t="shared" si="30"/>
        <v>0</v>
      </c>
      <c r="U83" s="131"/>
      <c r="V83" s="130"/>
      <c r="W83" s="130">
        <f>SUM(M83:S83)</f>
        <v>700</v>
      </c>
      <c r="X83" s="317"/>
    </row>
    <row r="84" spans="1:24" ht="17.25" customHeight="1" outlineLevel="2">
      <c r="A84" s="48"/>
      <c r="B84" s="58"/>
      <c r="C84" s="123"/>
      <c r="D84" s="123"/>
      <c r="E84" s="124"/>
      <c r="F84" s="60"/>
      <c r="G84" s="132" t="s">
        <v>37</v>
      </c>
      <c r="H84" s="125"/>
      <c r="I84" s="125"/>
      <c r="J84" s="126"/>
      <c r="K84" s="126"/>
      <c r="L84" s="234"/>
      <c r="M84" s="128"/>
      <c r="N84" s="125"/>
      <c r="O84" s="125"/>
      <c r="P84" s="125"/>
      <c r="Q84" s="125"/>
      <c r="R84" s="125"/>
      <c r="S84" s="125"/>
      <c r="T84" s="130">
        <f t="shared" si="30"/>
        <v>0</v>
      </c>
      <c r="U84" s="131"/>
      <c r="V84" s="130"/>
      <c r="W84" s="130"/>
      <c r="X84" s="317"/>
    </row>
    <row r="85" spans="1:24" ht="17.25" customHeight="1" outlineLevel="1">
      <c r="A85" s="48"/>
      <c r="B85" s="49">
        <v>3.2</v>
      </c>
      <c r="C85" s="359" t="s">
        <v>146</v>
      </c>
      <c r="D85" s="360"/>
      <c r="E85" s="50">
        <v>45818</v>
      </c>
      <c r="F85" s="50">
        <v>46021</v>
      </c>
      <c r="G85" s="135"/>
      <c r="H85" s="136"/>
      <c r="I85" s="137"/>
      <c r="J85" s="138"/>
      <c r="K85" s="138"/>
      <c r="L85" s="232"/>
      <c r="M85" s="140"/>
      <c r="N85" s="141"/>
      <c r="O85" s="141"/>
      <c r="P85" s="141"/>
      <c r="Q85" s="141"/>
      <c r="R85" s="141"/>
      <c r="S85" s="141"/>
      <c r="T85" s="142">
        <f t="shared" ref="T85:W85" si="32">SUM(T86:T91)</f>
        <v>25796.115009995756</v>
      </c>
      <c r="U85" s="142">
        <f t="shared" si="32"/>
        <v>0</v>
      </c>
      <c r="V85" s="142">
        <f t="shared" si="32"/>
        <v>39788</v>
      </c>
      <c r="W85" s="142">
        <f t="shared" si="32"/>
        <v>0</v>
      </c>
      <c r="X85" s="318"/>
    </row>
    <row r="86" spans="1:24" ht="17.25" customHeight="1" outlineLevel="2">
      <c r="A86" s="48"/>
      <c r="B86" s="58"/>
      <c r="C86" s="59"/>
      <c r="D86" s="59"/>
      <c r="E86" s="60"/>
      <c r="F86" s="60"/>
      <c r="G86" s="61" t="s">
        <v>32</v>
      </c>
      <c r="H86" s="62"/>
      <c r="I86" s="63"/>
      <c r="J86" s="224">
        <v>1994.0383366652522</v>
      </c>
      <c r="K86" s="227">
        <v>1994.0383366652522</v>
      </c>
      <c r="L86" s="228">
        <v>1994.0383366652522</v>
      </c>
      <c r="M86" s="110">
        <f>9186+1994</f>
        <v>11180</v>
      </c>
      <c r="N86" s="108">
        <v>8379</v>
      </c>
      <c r="O86" s="108">
        <v>9367</v>
      </c>
      <c r="P86" s="108">
        <v>8832</v>
      </c>
      <c r="Q86" s="67"/>
      <c r="R86" s="68"/>
      <c r="S86" s="68"/>
      <c r="T86" s="67">
        <f t="shared" ref="T86:T91" si="33">SUM(H86:M86)</f>
        <v>17162.115009995756</v>
      </c>
      <c r="U86" s="67"/>
      <c r="V86" s="67">
        <f t="shared" ref="V86:V91" si="34">SUM(N86:S86)</f>
        <v>26578</v>
      </c>
      <c r="W86" s="67"/>
      <c r="X86" s="317"/>
    </row>
    <row r="87" spans="1:24" ht="17.25" customHeight="1" outlineLevel="2">
      <c r="A87" s="48"/>
      <c r="B87" s="58"/>
      <c r="C87" s="59"/>
      <c r="D87" s="59"/>
      <c r="E87" s="60"/>
      <c r="F87" s="60"/>
      <c r="G87" s="61" t="s">
        <v>33</v>
      </c>
      <c r="H87" s="62"/>
      <c r="I87" s="63"/>
      <c r="J87" s="64"/>
      <c r="K87" s="206"/>
      <c r="L87" s="209"/>
      <c r="M87" s="69">
        <v>704</v>
      </c>
      <c r="N87" s="229">
        <v>3720</v>
      </c>
      <c r="O87" s="322">
        <v>1000</v>
      </c>
      <c r="P87" s="322">
        <v>1000</v>
      </c>
      <c r="Q87" s="67">
        <v>1000</v>
      </c>
      <c r="R87" s="67">
        <v>1000</v>
      </c>
      <c r="S87" s="67">
        <v>1000</v>
      </c>
      <c r="T87" s="67">
        <f t="shared" si="33"/>
        <v>704</v>
      </c>
      <c r="U87" s="67"/>
      <c r="V87" s="67">
        <f t="shared" si="34"/>
        <v>8720</v>
      </c>
      <c r="W87" s="67"/>
      <c r="X87" s="317"/>
    </row>
    <row r="88" spans="1:24" ht="17.25" customHeight="1" outlineLevel="2">
      <c r="A88" s="48"/>
      <c r="B88" s="58"/>
      <c r="C88" s="59"/>
      <c r="D88" s="59"/>
      <c r="E88" s="60"/>
      <c r="F88" s="60"/>
      <c r="G88" s="61" t="s">
        <v>34</v>
      </c>
      <c r="H88" s="69"/>
      <c r="I88" s="63"/>
      <c r="J88" s="241">
        <v>1023</v>
      </c>
      <c r="K88" s="206"/>
      <c r="L88" s="210"/>
      <c r="M88" s="92"/>
      <c r="N88" s="242">
        <v>2040</v>
      </c>
      <c r="O88" s="323"/>
      <c r="P88" s="323"/>
      <c r="Q88" s="67"/>
      <c r="R88" s="68"/>
      <c r="S88" s="68"/>
      <c r="T88" s="67">
        <f t="shared" si="33"/>
        <v>1023</v>
      </c>
      <c r="U88" s="67"/>
      <c r="V88" s="67">
        <f t="shared" si="34"/>
        <v>2040</v>
      </c>
      <c r="W88" s="67"/>
      <c r="X88" s="317"/>
    </row>
    <row r="89" spans="1:24" ht="17.25" customHeight="1" outlineLevel="2">
      <c r="A89" s="48"/>
      <c r="B89" s="58"/>
      <c r="C89" s="59"/>
      <c r="D89" s="59"/>
      <c r="E89" s="60"/>
      <c r="F89" s="60"/>
      <c r="G89" s="61" t="s">
        <v>35</v>
      </c>
      <c r="H89" s="69">
        <v>1315</v>
      </c>
      <c r="I89" s="69">
        <v>730</v>
      </c>
      <c r="J89" s="149">
        <v>1788</v>
      </c>
      <c r="K89" s="206"/>
      <c r="L89" s="210">
        <v>675</v>
      </c>
      <c r="M89" s="92">
        <f>291+1605</f>
        <v>1896</v>
      </c>
      <c r="N89" s="242">
        <v>2200</v>
      </c>
      <c r="O89" s="323"/>
      <c r="P89" s="323"/>
      <c r="Q89" s="67"/>
      <c r="R89" s="68"/>
      <c r="S89" s="68"/>
      <c r="T89" s="67">
        <f t="shared" si="33"/>
        <v>6404</v>
      </c>
      <c r="U89" s="67"/>
      <c r="V89" s="67">
        <f t="shared" si="34"/>
        <v>2200</v>
      </c>
      <c r="W89" s="67"/>
      <c r="X89" s="317"/>
    </row>
    <row r="90" spans="1:24" ht="17.25" customHeight="1" outlineLevel="2">
      <c r="A90" s="48"/>
      <c r="B90" s="58"/>
      <c r="C90" s="59"/>
      <c r="D90" s="59"/>
      <c r="E90" s="60"/>
      <c r="F90" s="60"/>
      <c r="G90" s="61" t="s">
        <v>36</v>
      </c>
      <c r="H90" s="62"/>
      <c r="I90" s="63"/>
      <c r="J90" s="149"/>
      <c r="K90" s="206"/>
      <c r="L90" s="209"/>
      <c r="M90" s="69"/>
      <c r="N90" s="67"/>
      <c r="O90" s="67"/>
      <c r="P90" s="67"/>
      <c r="Q90" s="67"/>
      <c r="R90" s="68"/>
      <c r="S90" s="68"/>
      <c r="T90" s="67">
        <f t="shared" si="33"/>
        <v>0</v>
      </c>
      <c r="U90" s="67"/>
      <c r="V90" s="67">
        <f t="shared" si="34"/>
        <v>0</v>
      </c>
      <c r="W90" s="67">
        <f>SUM(L90:S90)</f>
        <v>0</v>
      </c>
      <c r="X90" s="317"/>
    </row>
    <row r="91" spans="1:24" ht="17.25" customHeight="1" outlineLevel="2">
      <c r="A91" s="48"/>
      <c r="B91" s="58"/>
      <c r="C91" s="59"/>
      <c r="D91" s="59"/>
      <c r="E91" s="60"/>
      <c r="F91" s="60"/>
      <c r="G91" s="61" t="s">
        <v>37</v>
      </c>
      <c r="H91" s="62"/>
      <c r="I91" s="63"/>
      <c r="J91" s="93">
        <v>103</v>
      </c>
      <c r="K91" s="93">
        <v>201</v>
      </c>
      <c r="M91" s="209">
        <v>199</v>
      </c>
      <c r="N91" s="67">
        <v>250</v>
      </c>
      <c r="O91" s="67"/>
      <c r="P91" s="67"/>
      <c r="Q91" s="67"/>
      <c r="R91" s="68"/>
      <c r="S91" s="68"/>
      <c r="T91" s="67">
        <f t="shared" si="33"/>
        <v>503</v>
      </c>
      <c r="U91" s="67"/>
      <c r="V91" s="67">
        <f t="shared" si="34"/>
        <v>250</v>
      </c>
      <c r="W91" s="67"/>
      <c r="X91" s="317"/>
    </row>
    <row r="92" spans="1:24" ht="21" customHeight="1">
      <c r="A92" s="19"/>
      <c r="B92" s="39">
        <v>4</v>
      </c>
      <c r="C92" s="40" t="s">
        <v>54</v>
      </c>
      <c r="D92" s="41"/>
      <c r="E92" s="71"/>
      <c r="F92" s="71"/>
      <c r="G92" s="72"/>
      <c r="H92" s="111"/>
      <c r="I92" s="112"/>
      <c r="J92" s="113"/>
      <c r="K92" s="230"/>
      <c r="L92" s="231"/>
      <c r="M92" s="111"/>
      <c r="N92" s="111"/>
      <c r="O92" s="111"/>
      <c r="P92" s="111"/>
      <c r="Q92" s="111"/>
      <c r="R92" s="111"/>
      <c r="S92" s="111"/>
      <c r="T92" s="115">
        <f t="shared" ref="T92:W92" si="35">T93+T100+T107</f>
        <v>46812.208694007146</v>
      </c>
      <c r="U92" s="115">
        <f t="shared" si="35"/>
        <v>0</v>
      </c>
      <c r="V92" s="115">
        <f t="shared" si="35"/>
        <v>47434</v>
      </c>
      <c r="W92" s="115">
        <f t="shared" si="35"/>
        <v>0</v>
      </c>
      <c r="X92" s="111"/>
    </row>
    <row r="93" spans="1:24" ht="17.25" customHeight="1" outlineLevel="1">
      <c r="A93" s="48"/>
      <c r="B93" s="49">
        <v>4.0999999999999996</v>
      </c>
      <c r="C93" s="339" t="s">
        <v>55</v>
      </c>
      <c r="D93" s="340"/>
      <c r="E93" s="50">
        <v>45717</v>
      </c>
      <c r="F93" s="50">
        <v>45807</v>
      </c>
      <c r="G93" s="51"/>
      <c r="H93" s="150"/>
      <c r="I93" s="151"/>
      <c r="J93" s="152"/>
      <c r="K93" s="156"/>
      <c r="L93" s="244"/>
      <c r="M93" s="154"/>
      <c r="N93" s="151"/>
      <c r="O93" s="151"/>
      <c r="P93" s="151"/>
      <c r="Q93" s="151"/>
      <c r="R93" s="151"/>
      <c r="S93" s="151"/>
      <c r="T93" s="142">
        <f t="shared" ref="T93:W93" si="36">SUM(T94:T99)</f>
        <v>36304.208694007146</v>
      </c>
      <c r="U93" s="155">
        <f t="shared" si="36"/>
        <v>0</v>
      </c>
      <c r="V93" s="155">
        <f t="shared" si="36"/>
        <v>0</v>
      </c>
      <c r="W93" s="155">
        <f t="shared" si="36"/>
        <v>0</v>
      </c>
      <c r="X93" s="164"/>
    </row>
    <row r="94" spans="1:24" ht="17.25" customHeight="1" outlineLevel="2">
      <c r="A94" s="48"/>
      <c r="B94" s="58"/>
      <c r="C94" s="59"/>
      <c r="D94" s="59"/>
      <c r="E94" s="60"/>
      <c r="F94" s="60"/>
      <c r="G94" s="61" t="s">
        <v>32</v>
      </c>
      <c r="H94" s="69"/>
      <c r="I94" s="69"/>
      <c r="J94" s="224">
        <v>2338</v>
      </c>
      <c r="K94" s="227">
        <v>7864</v>
      </c>
      <c r="L94" s="209"/>
      <c r="M94" s="69"/>
      <c r="N94" s="69"/>
      <c r="O94" s="69"/>
      <c r="P94" s="69"/>
      <c r="Q94" s="69"/>
      <c r="R94" s="69"/>
      <c r="S94" s="69"/>
      <c r="T94" s="130">
        <f t="shared" ref="T94:T99" si="37">SUM(H94:M94)</f>
        <v>10202</v>
      </c>
      <c r="U94" s="130"/>
      <c r="V94" s="130">
        <f t="shared" ref="V94:V98" si="38">SUM(M94:S94)</f>
        <v>0</v>
      </c>
      <c r="W94" s="130"/>
      <c r="X94" s="317"/>
    </row>
    <row r="95" spans="1:24" ht="17.25" customHeight="1" outlineLevel="2">
      <c r="A95" s="48"/>
      <c r="B95" s="58"/>
      <c r="C95" s="59"/>
      <c r="D95" s="59"/>
      <c r="E95" s="60"/>
      <c r="F95" s="60"/>
      <c r="G95" s="61" t="s">
        <v>33</v>
      </c>
      <c r="H95" s="69"/>
      <c r="I95" s="69"/>
      <c r="J95" s="149"/>
      <c r="K95" s="206">
        <v>2012</v>
      </c>
      <c r="L95" s="209">
        <v>2642</v>
      </c>
      <c r="M95" s="69"/>
      <c r="N95" s="69"/>
      <c r="O95" s="69"/>
      <c r="P95" s="69"/>
      <c r="Q95" s="69"/>
      <c r="R95" s="69"/>
      <c r="S95" s="69"/>
      <c r="T95" s="130">
        <f t="shared" si="37"/>
        <v>4654</v>
      </c>
      <c r="U95" s="130"/>
      <c r="V95" s="130">
        <f t="shared" si="38"/>
        <v>0</v>
      </c>
      <c r="W95" s="130"/>
      <c r="X95" s="317"/>
    </row>
    <row r="96" spans="1:24" ht="17.25" customHeight="1" outlineLevel="2">
      <c r="A96" s="48"/>
      <c r="B96" s="58"/>
      <c r="C96" s="59"/>
      <c r="D96" s="59"/>
      <c r="E96" s="60"/>
      <c r="F96" s="60"/>
      <c r="G96" s="61" t="s">
        <v>34</v>
      </c>
      <c r="H96" s="69"/>
      <c r="I96" s="69"/>
      <c r="J96" s="149">
        <v>2168</v>
      </c>
      <c r="K96" s="206">
        <v>2992</v>
      </c>
      <c r="L96" s="209">
        <v>3497</v>
      </c>
      <c r="M96" s="69"/>
      <c r="N96" s="69"/>
      <c r="O96" s="69"/>
      <c r="P96" s="69"/>
      <c r="Q96" s="69"/>
      <c r="R96" s="69"/>
      <c r="S96" s="69"/>
      <c r="T96" s="130">
        <f t="shared" si="37"/>
        <v>8657</v>
      </c>
      <c r="U96" s="130"/>
      <c r="V96" s="130">
        <f t="shared" si="38"/>
        <v>0</v>
      </c>
      <c r="W96" s="130"/>
      <c r="X96" s="317"/>
    </row>
    <row r="97" spans="1:24" ht="17.25" customHeight="1" outlineLevel="2">
      <c r="A97" s="48"/>
      <c r="B97" s="58"/>
      <c r="C97" s="59"/>
      <c r="D97" s="59"/>
      <c r="E97" s="60"/>
      <c r="F97" s="60"/>
      <c r="G97" s="61" t="s">
        <v>35</v>
      </c>
      <c r="H97" s="69"/>
      <c r="I97" s="69"/>
      <c r="J97" s="149">
        <v>4794.3839699769405</v>
      </c>
      <c r="K97" s="206">
        <v>4406.8247240302071</v>
      </c>
      <c r="L97" s="209">
        <v>3590</v>
      </c>
      <c r="M97" s="69"/>
      <c r="N97" s="69"/>
      <c r="O97" s="69"/>
      <c r="P97" s="69"/>
      <c r="Q97" s="69"/>
      <c r="R97" s="69"/>
      <c r="S97" s="69"/>
      <c r="T97" s="130">
        <f t="shared" si="37"/>
        <v>12791.208694007148</v>
      </c>
      <c r="U97" s="130"/>
      <c r="V97" s="130">
        <f t="shared" si="38"/>
        <v>0</v>
      </c>
      <c r="W97" s="130"/>
      <c r="X97" s="317"/>
    </row>
    <row r="98" spans="1:24" ht="17.25" customHeight="1" outlineLevel="2">
      <c r="A98" s="48"/>
      <c r="B98" s="58"/>
      <c r="C98" s="59"/>
      <c r="D98" s="59"/>
      <c r="E98" s="60"/>
      <c r="F98" s="60"/>
      <c r="G98" s="61" t="s">
        <v>36</v>
      </c>
      <c r="H98" s="69"/>
      <c r="I98" s="69"/>
      <c r="J98" s="149"/>
      <c r="K98" s="206"/>
      <c r="L98" s="209"/>
      <c r="M98" s="69"/>
      <c r="N98" s="69"/>
      <c r="O98" s="69"/>
      <c r="P98" s="69"/>
      <c r="Q98" s="69"/>
      <c r="R98" s="69"/>
      <c r="S98" s="69"/>
      <c r="T98" s="130">
        <f t="shared" si="37"/>
        <v>0</v>
      </c>
      <c r="U98" s="130"/>
      <c r="V98" s="130">
        <f t="shared" si="38"/>
        <v>0</v>
      </c>
      <c r="W98" s="130"/>
      <c r="X98" s="317"/>
    </row>
    <row r="99" spans="1:24" ht="17.25" customHeight="1" outlineLevel="2">
      <c r="A99" s="48"/>
      <c r="B99" s="58"/>
      <c r="C99" s="59"/>
      <c r="D99" s="59"/>
      <c r="E99" s="60"/>
      <c r="F99" s="60"/>
      <c r="G99" s="61" t="s">
        <v>37</v>
      </c>
      <c r="H99" s="69"/>
      <c r="I99" s="69"/>
      <c r="J99" s="149"/>
      <c r="K99" s="206"/>
      <c r="L99" s="209"/>
      <c r="M99" s="69"/>
      <c r="N99" s="69"/>
      <c r="O99" s="69"/>
      <c r="P99" s="69"/>
      <c r="Q99" s="69"/>
      <c r="R99" s="69"/>
      <c r="S99" s="69"/>
      <c r="T99" s="130">
        <f t="shared" si="37"/>
        <v>0</v>
      </c>
      <c r="U99" s="130"/>
      <c r="V99" s="130">
        <f>SUM(L99:S99)</f>
        <v>0</v>
      </c>
      <c r="W99" s="130"/>
      <c r="X99" s="317"/>
    </row>
    <row r="100" spans="1:24" ht="17.25" customHeight="1" outlineLevel="1">
      <c r="A100" s="48"/>
      <c r="B100" s="49">
        <v>4.2</v>
      </c>
      <c r="C100" s="339" t="s">
        <v>56</v>
      </c>
      <c r="D100" s="340"/>
      <c r="E100" s="50">
        <v>45931</v>
      </c>
      <c r="F100" s="50">
        <v>45991</v>
      </c>
      <c r="G100" s="51"/>
      <c r="H100" s="150"/>
      <c r="I100" s="151"/>
      <c r="J100" s="152"/>
      <c r="K100" s="156"/>
      <c r="L100" s="244"/>
      <c r="M100" s="154"/>
      <c r="N100" s="151"/>
      <c r="O100" s="151"/>
      <c r="P100" s="151"/>
      <c r="Q100" s="151"/>
      <c r="R100" s="118"/>
      <c r="S100" s="118"/>
      <c r="T100" s="142">
        <f t="shared" ref="T100:W100" si="39">SUM(T101:T106)</f>
        <v>0</v>
      </c>
      <c r="U100" s="142">
        <f t="shared" si="39"/>
        <v>0</v>
      </c>
      <c r="V100" s="142">
        <f t="shared" si="39"/>
        <v>9600</v>
      </c>
      <c r="W100" s="142">
        <f t="shared" si="39"/>
        <v>0</v>
      </c>
      <c r="X100" s="318"/>
    </row>
    <row r="101" spans="1:24" ht="17.25" customHeight="1" outlineLevel="2">
      <c r="A101" s="48"/>
      <c r="B101" s="58"/>
      <c r="C101" s="59"/>
      <c r="D101" s="59"/>
      <c r="E101" s="60"/>
      <c r="F101" s="60"/>
      <c r="G101" s="61" t="s">
        <v>32</v>
      </c>
      <c r="H101" s="69"/>
      <c r="I101" s="69"/>
      <c r="J101" s="149"/>
      <c r="K101" s="206"/>
      <c r="L101" s="209"/>
      <c r="M101" s="69"/>
      <c r="N101" s="69"/>
      <c r="O101" s="69"/>
      <c r="P101" s="69"/>
      <c r="Q101" s="110">
        <v>4806</v>
      </c>
      <c r="R101" s="110">
        <v>4794</v>
      </c>
      <c r="S101" s="69"/>
      <c r="T101" s="130">
        <f t="shared" ref="T101:T106" si="40">SUM(H101:K101)</f>
        <v>0</v>
      </c>
      <c r="U101" s="69"/>
      <c r="V101" s="130">
        <f t="shared" ref="V101:V104" si="41">SUM(M101:S101)</f>
        <v>9600</v>
      </c>
      <c r="W101" s="69"/>
      <c r="X101" s="317"/>
    </row>
    <row r="102" spans="1:24" ht="17.25" customHeight="1" outlineLevel="2">
      <c r="A102" s="48"/>
      <c r="B102" s="58"/>
      <c r="C102" s="59"/>
      <c r="D102" s="59"/>
      <c r="E102" s="60"/>
      <c r="F102" s="60"/>
      <c r="G102" s="61" t="s">
        <v>33</v>
      </c>
      <c r="H102" s="69"/>
      <c r="I102" s="69"/>
      <c r="J102" s="149"/>
      <c r="K102" s="206"/>
      <c r="L102" s="209"/>
      <c r="M102" s="69"/>
      <c r="N102" s="69"/>
      <c r="O102" s="69"/>
      <c r="P102" s="69"/>
      <c r="Q102" s="324"/>
      <c r="R102" s="324"/>
      <c r="S102" s="69"/>
      <c r="T102" s="130">
        <f t="shared" si="40"/>
        <v>0</v>
      </c>
      <c r="U102" s="69"/>
      <c r="V102" s="130">
        <f t="shared" si="41"/>
        <v>0</v>
      </c>
      <c r="W102" s="69"/>
      <c r="X102" s="317"/>
    </row>
    <row r="103" spans="1:24" ht="17.25" customHeight="1" outlineLevel="2">
      <c r="A103" s="48"/>
      <c r="B103" s="58"/>
      <c r="C103" s="59"/>
      <c r="D103" s="59"/>
      <c r="E103" s="60"/>
      <c r="F103" s="60"/>
      <c r="G103" s="61" t="s">
        <v>34</v>
      </c>
      <c r="H103" s="69"/>
      <c r="I103" s="69"/>
      <c r="J103" s="149"/>
      <c r="K103" s="206"/>
      <c r="L103" s="209"/>
      <c r="M103" s="69"/>
      <c r="N103" s="69"/>
      <c r="O103" s="69"/>
      <c r="P103" s="69"/>
      <c r="Q103" s="325"/>
      <c r="R103" s="325"/>
      <c r="S103" s="69"/>
      <c r="T103" s="130">
        <f t="shared" si="40"/>
        <v>0</v>
      </c>
      <c r="U103" s="69"/>
      <c r="V103" s="130">
        <f t="shared" si="41"/>
        <v>0</v>
      </c>
      <c r="W103" s="69"/>
      <c r="X103" s="317"/>
    </row>
    <row r="104" spans="1:24" ht="17.25" customHeight="1" outlineLevel="2">
      <c r="A104" s="48"/>
      <c r="B104" s="58"/>
      <c r="C104" s="59"/>
      <c r="D104" s="59"/>
      <c r="E104" s="60"/>
      <c r="F104" s="60"/>
      <c r="G104" s="61" t="s">
        <v>35</v>
      </c>
      <c r="H104" s="69"/>
      <c r="I104" s="69"/>
      <c r="J104" s="149"/>
      <c r="K104" s="206"/>
      <c r="L104" s="209"/>
      <c r="M104" s="69"/>
      <c r="N104" s="69"/>
      <c r="O104" s="69"/>
      <c r="P104" s="69"/>
      <c r="Q104" s="325"/>
      <c r="R104" s="325"/>
      <c r="S104" s="69"/>
      <c r="T104" s="130">
        <f t="shared" si="40"/>
        <v>0</v>
      </c>
      <c r="U104" s="69"/>
      <c r="V104" s="130">
        <f t="shared" si="41"/>
        <v>0</v>
      </c>
      <c r="W104" s="69"/>
      <c r="X104" s="317"/>
    </row>
    <row r="105" spans="1:24" ht="17.25" customHeight="1" outlineLevel="2">
      <c r="A105" s="48"/>
      <c r="B105" s="58"/>
      <c r="C105" s="59"/>
      <c r="D105" s="59"/>
      <c r="E105" s="60"/>
      <c r="F105" s="60"/>
      <c r="G105" s="61" t="s">
        <v>36</v>
      </c>
      <c r="H105" s="69"/>
      <c r="I105" s="69"/>
      <c r="J105" s="149"/>
      <c r="K105" s="206"/>
      <c r="L105" s="209"/>
      <c r="M105" s="69"/>
      <c r="N105" s="69"/>
      <c r="O105" s="69"/>
      <c r="P105" s="69"/>
      <c r="Q105" s="69"/>
      <c r="R105" s="69"/>
      <c r="S105" s="69"/>
      <c r="T105" s="130">
        <f t="shared" si="40"/>
        <v>0</v>
      </c>
      <c r="U105" s="69"/>
      <c r="V105" s="130">
        <f t="shared" ref="V105:V106" si="42">SUM(L105:S105)</f>
        <v>0</v>
      </c>
      <c r="W105" s="69"/>
      <c r="X105" s="317"/>
    </row>
    <row r="106" spans="1:24" ht="17.25" customHeight="1" outlineLevel="2">
      <c r="A106" s="48"/>
      <c r="B106" s="58"/>
      <c r="C106" s="59"/>
      <c r="D106" s="59"/>
      <c r="E106" s="60"/>
      <c r="F106" s="60"/>
      <c r="G106" s="61" t="s">
        <v>37</v>
      </c>
      <c r="H106" s="69"/>
      <c r="I106" s="69"/>
      <c r="J106" s="149"/>
      <c r="K106" s="206"/>
      <c r="L106" s="209"/>
      <c r="M106" s="69"/>
      <c r="N106" s="69"/>
      <c r="O106" s="69"/>
      <c r="P106" s="69"/>
      <c r="Q106" s="69"/>
      <c r="R106" s="69"/>
      <c r="S106" s="69"/>
      <c r="T106" s="130">
        <f t="shared" si="40"/>
        <v>0</v>
      </c>
      <c r="U106" s="69"/>
      <c r="V106" s="130">
        <f t="shared" si="42"/>
        <v>0</v>
      </c>
      <c r="W106" s="69"/>
      <c r="X106" s="317"/>
    </row>
    <row r="107" spans="1:24" ht="17.25" customHeight="1" outlineLevel="1">
      <c r="A107" s="48"/>
      <c r="B107" s="49">
        <v>4.3</v>
      </c>
      <c r="C107" s="332" t="s">
        <v>58</v>
      </c>
      <c r="D107" s="330"/>
      <c r="E107" s="50">
        <v>45819</v>
      </c>
      <c r="F107" s="50">
        <v>45930</v>
      </c>
      <c r="G107" s="135"/>
      <c r="H107" s="136"/>
      <c r="I107" s="137"/>
      <c r="J107" s="156"/>
      <c r="K107" s="156"/>
      <c r="L107" s="244"/>
      <c r="M107" s="158"/>
      <c r="N107" s="137"/>
      <c r="O107" s="137"/>
      <c r="P107" s="137"/>
      <c r="Q107" s="137"/>
      <c r="R107" s="141"/>
      <c r="S107" s="141"/>
      <c r="T107" s="142">
        <f t="shared" ref="T107:W107" si="43">SUM(T108:T113)</f>
        <v>10508</v>
      </c>
      <c r="U107" s="142">
        <f t="shared" si="43"/>
        <v>0</v>
      </c>
      <c r="V107" s="142">
        <f t="shared" si="43"/>
        <v>37834</v>
      </c>
      <c r="W107" s="142">
        <f t="shared" si="43"/>
        <v>0</v>
      </c>
      <c r="X107" s="318"/>
    </row>
    <row r="108" spans="1:24" ht="17.25" customHeight="1" outlineLevel="2">
      <c r="A108" s="48"/>
      <c r="B108" s="58"/>
      <c r="C108" s="59"/>
      <c r="D108" s="59"/>
      <c r="E108" s="60"/>
      <c r="F108" s="60"/>
      <c r="G108" s="61" t="s">
        <v>32</v>
      </c>
      <c r="H108" s="69"/>
      <c r="I108" s="69"/>
      <c r="J108" s="149"/>
      <c r="K108" s="206"/>
      <c r="L108" s="209"/>
      <c r="M108" s="110">
        <v>1656</v>
      </c>
      <c r="N108" s="110">
        <v>1534</v>
      </c>
      <c r="O108" s="110">
        <v>1534</v>
      </c>
      <c r="P108" s="110">
        <v>766</v>
      </c>
      <c r="Q108" s="69"/>
      <c r="R108" s="69"/>
      <c r="S108" s="69"/>
      <c r="T108" s="130">
        <f t="shared" ref="T108:T113" si="44">SUM(H108:M108)</f>
        <v>1656</v>
      </c>
      <c r="U108" s="69"/>
      <c r="V108" s="69">
        <f t="shared" ref="V108:V113" si="45">SUM(N108:S108)</f>
        <v>3834</v>
      </c>
      <c r="W108" s="69"/>
      <c r="X108" s="317"/>
    </row>
    <row r="109" spans="1:24" ht="17.25" customHeight="1" outlineLevel="2">
      <c r="A109" s="48"/>
      <c r="B109" s="58"/>
      <c r="C109" s="59"/>
      <c r="D109" s="59"/>
      <c r="E109" s="60"/>
      <c r="F109" s="60"/>
      <c r="G109" s="61" t="s">
        <v>33</v>
      </c>
      <c r="H109" s="69"/>
      <c r="I109" s="69"/>
      <c r="J109" s="149"/>
      <c r="K109" s="206"/>
      <c r="L109" s="209"/>
      <c r="M109" s="236">
        <v>797</v>
      </c>
      <c r="N109" s="236">
        <v>4000</v>
      </c>
      <c r="O109" s="236">
        <v>5000</v>
      </c>
      <c r="P109" s="236">
        <v>5000</v>
      </c>
      <c r="Q109" s="236">
        <v>5000</v>
      </c>
      <c r="R109" s="236">
        <v>5000</v>
      </c>
      <c r="S109" s="69"/>
      <c r="T109" s="130">
        <f t="shared" si="44"/>
        <v>797</v>
      </c>
      <c r="U109" s="69"/>
      <c r="V109" s="69">
        <f t="shared" si="45"/>
        <v>24000</v>
      </c>
      <c r="W109" s="69"/>
      <c r="X109" s="317"/>
    </row>
    <row r="110" spans="1:24" ht="17.25" customHeight="1" outlineLevel="2">
      <c r="A110" s="48"/>
      <c r="B110" s="58"/>
      <c r="C110" s="59"/>
      <c r="D110" s="59"/>
      <c r="E110" s="60"/>
      <c r="F110" s="60"/>
      <c r="G110" s="61" t="s">
        <v>34</v>
      </c>
      <c r="H110" s="69">
        <v>767</v>
      </c>
      <c r="I110" s="69">
        <v>767</v>
      </c>
      <c r="J110" s="149"/>
      <c r="K110" s="206"/>
      <c r="L110" s="209"/>
      <c r="M110" s="236">
        <v>1075</v>
      </c>
      <c r="N110" s="236">
        <v>1000</v>
      </c>
      <c r="O110" s="236">
        <v>1000</v>
      </c>
      <c r="P110" s="236">
        <v>500</v>
      </c>
      <c r="Q110" s="236">
        <v>1000</v>
      </c>
      <c r="R110" s="236">
        <v>500</v>
      </c>
      <c r="S110" s="69"/>
      <c r="T110" s="130">
        <f t="shared" si="44"/>
        <v>2609</v>
      </c>
      <c r="U110" s="69"/>
      <c r="V110" s="69">
        <f t="shared" si="45"/>
        <v>4000</v>
      </c>
      <c r="W110" s="69"/>
      <c r="X110" s="317"/>
    </row>
    <row r="111" spans="1:24" ht="17.25" customHeight="1" outlineLevel="2">
      <c r="A111" s="48"/>
      <c r="B111" s="58"/>
      <c r="C111" s="59"/>
      <c r="D111" s="59"/>
      <c r="E111" s="60"/>
      <c r="F111" s="60"/>
      <c r="G111" s="61" t="s">
        <v>35</v>
      </c>
      <c r="H111" s="69">
        <v>1769</v>
      </c>
      <c r="I111" s="69">
        <v>1021</v>
      </c>
      <c r="J111" s="149"/>
      <c r="K111" s="206"/>
      <c r="L111" s="209"/>
      <c r="M111" s="236">
        <v>552</v>
      </c>
      <c r="N111" s="236">
        <v>1200</v>
      </c>
      <c r="O111" s="236">
        <v>1200</v>
      </c>
      <c r="P111" s="236">
        <v>1200</v>
      </c>
      <c r="Q111" s="236">
        <v>1200</v>
      </c>
      <c r="R111" s="236">
        <v>1200</v>
      </c>
      <c r="S111" s="69"/>
      <c r="T111" s="130">
        <f t="shared" si="44"/>
        <v>3342</v>
      </c>
      <c r="U111" s="69"/>
      <c r="V111" s="69">
        <f t="shared" si="45"/>
        <v>6000</v>
      </c>
      <c r="W111" s="69"/>
      <c r="X111" s="317"/>
    </row>
    <row r="112" spans="1:24" ht="17.25" customHeight="1" outlineLevel="2">
      <c r="A112" s="48"/>
      <c r="B112" s="58"/>
      <c r="C112" s="59"/>
      <c r="D112" s="59"/>
      <c r="E112" s="60"/>
      <c r="F112" s="60"/>
      <c r="G112" s="61" t="s">
        <v>36</v>
      </c>
      <c r="H112" s="69"/>
      <c r="I112" s="69"/>
      <c r="J112" s="149"/>
      <c r="K112" s="206"/>
      <c r="L112" s="209"/>
      <c r="M112" s="69"/>
      <c r="N112" s="69"/>
      <c r="O112" s="69"/>
      <c r="P112" s="69"/>
      <c r="Q112" s="69"/>
      <c r="R112" s="69"/>
      <c r="S112" s="69"/>
      <c r="T112" s="130">
        <f t="shared" si="44"/>
        <v>0</v>
      </c>
      <c r="U112" s="69"/>
      <c r="V112" s="69">
        <f t="shared" si="45"/>
        <v>0</v>
      </c>
      <c r="W112" s="69"/>
      <c r="X112" s="317"/>
    </row>
    <row r="113" spans="1:24" ht="17.25" customHeight="1" outlineLevel="2">
      <c r="A113" s="48"/>
      <c r="B113" s="58"/>
      <c r="C113" s="59"/>
      <c r="D113" s="59"/>
      <c r="E113" s="60"/>
      <c r="F113" s="60"/>
      <c r="G113" s="61" t="s">
        <v>59</v>
      </c>
      <c r="H113" s="69">
        <v>2104</v>
      </c>
      <c r="I113" s="69"/>
      <c r="J113" s="149"/>
      <c r="K113" s="206"/>
      <c r="L113" s="209"/>
      <c r="M113" s="69"/>
      <c r="N113" s="69"/>
      <c r="O113" s="69"/>
      <c r="P113" s="69"/>
      <c r="Q113" s="69"/>
      <c r="R113" s="69"/>
      <c r="S113" s="69"/>
      <c r="T113" s="130">
        <f t="shared" si="44"/>
        <v>2104</v>
      </c>
      <c r="U113" s="69"/>
      <c r="V113" s="69">
        <f t="shared" si="45"/>
        <v>0</v>
      </c>
      <c r="W113" s="69"/>
      <c r="X113" s="317"/>
    </row>
    <row r="114" spans="1:24" ht="21" customHeight="1">
      <c r="A114" s="19"/>
      <c r="B114" s="39">
        <v>5</v>
      </c>
      <c r="C114" s="40" t="s">
        <v>60</v>
      </c>
      <c r="D114" s="41"/>
      <c r="E114" s="71"/>
      <c r="F114" s="71"/>
      <c r="G114" s="72"/>
      <c r="H114" s="111"/>
      <c r="I114" s="112"/>
      <c r="J114" s="113"/>
      <c r="K114" s="230"/>
      <c r="L114" s="231"/>
      <c r="M114" s="111"/>
      <c r="N114" s="111"/>
      <c r="O114" s="111"/>
      <c r="P114" s="111"/>
      <c r="Q114" s="111"/>
      <c r="R114" s="111"/>
      <c r="S114" s="111"/>
      <c r="T114" s="115">
        <f t="shared" ref="T114:W114" si="46">T115+T122+T129</f>
        <v>33027.866522141499</v>
      </c>
      <c r="U114" s="115">
        <f t="shared" si="46"/>
        <v>30382.174580612835</v>
      </c>
      <c r="V114" s="115">
        <f t="shared" si="46"/>
        <v>31662</v>
      </c>
      <c r="W114" s="115">
        <f t="shared" si="46"/>
        <v>20302</v>
      </c>
      <c r="X114" s="111"/>
    </row>
    <row r="115" spans="1:24" ht="15.75" customHeight="1" outlineLevel="1">
      <c r="A115" s="48"/>
      <c r="B115" s="49">
        <v>5.0999999999999996</v>
      </c>
      <c r="C115" s="339" t="s">
        <v>61</v>
      </c>
      <c r="D115" s="340"/>
      <c r="E115" s="50">
        <v>45689</v>
      </c>
      <c r="F115" s="50">
        <v>45746</v>
      </c>
      <c r="G115" s="135"/>
      <c r="H115" s="150"/>
      <c r="I115" s="151"/>
      <c r="J115" s="119"/>
      <c r="K115" s="138"/>
      <c r="L115" s="232"/>
      <c r="M115" s="121"/>
      <c r="N115" s="118"/>
      <c r="O115" s="118"/>
      <c r="P115" s="118"/>
      <c r="Q115" s="118"/>
      <c r="R115" s="118"/>
      <c r="S115" s="118"/>
      <c r="T115" s="91">
        <f t="shared" ref="T115:W115" si="47">SUM(T116:T121)</f>
        <v>33027.866522141499</v>
      </c>
      <c r="U115" s="91">
        <f t="shared" si="47"/>
        <v>0</v>
      </c>
      <c r="V115" s="91">
        <f t="shared" si="47"/>
        <v>0</v>
      </c>
      <c r="W115" s="91">
        <f t="shared" si="47"/>
        <v>0</v>
      </c>
      <c r="X115" s="318"/>
    </row>
    <row r="116" spans="1:24" ht="17.25" customHeight="1" outlineLevel="2">
      <c r="A116" s="48"/>
      <c r="B116" s="58"/>
      <c r="C116" s="59"/>
      <c r="D116" s="59"/>
      <c r="E116" s="60"/>
      <c r="F116" s="60"/>
      <c r="G116" s="61" t="s">
        <v>32</v>
      </c>
      <c r="H116" s="69"/>
      <c r="I116" s="110">
        <v>8866</v>
      </c>
      <c r="J116" s="224">
        <v>7591</v>
      </c>
      <c r="K116" s="206"/>
      <c r="L116" s="209"/>
      <c r="M116" s="69"/>
      <c r="N116" s="69"/>
      <c r="O116" s="69"/>
      <c r="P116" s="69"/>
      <c r="Q116" s="69"/>
      <c r="R116" s="69"/>
      <c r="S116" s="69"/>
      <c r="T116" s="130">
        <f t="shared" ref="T116:T121" si="48">SUM(H116:K116)</f>
        <v>16457</v>
      </c>
      <c r="U116" s="69"/>
      <c r="V116" s="69">
        <f t="shared" ref="V116:V121" si="49">SUM(L116:S116)</f>
        <v>0</v>
      </c>
      <c r="W116" s="69"/>
      <c r="X116" s="317"/>
    </row>
    <row r="117" spans="1:24" ht="17.25" customHeight="1" outlineLevel="2">
      <c r="A117" s="48"/>
      <c r="B117" s="58"/>
      <c r="C117" s="59"/>
      <c r="D117" s="59"/>
      <c r="E117" s="60"/>
      <c r="F117" s="60"/>
      <c r="G117" s="61" t="s">
        <v>33</v>
      </c>
      <c r="H117" s="69"/>
      <c r="I117" s="69"/>
      <c r="J117" s="149"/>
      <c r="K117" s="206"/>
      <c r="L117" s="209"/>
      <c r="M117" s="69"/>
      <c r="N117" s="69"/>
      <c r="O117" s="69"/>
      <c r="P117" s="69"/>
      <c r="Q117" s="69"/>
      <c r="R117" s="69"/>
      <c r="S117" s="69"/>
      <c r="T117" s="130">
        <f t="shared" si="48"/>
        <v>0</v>
      </c>
      <c r="U117" s="69"/>
      <c r="V117" s="69">
        <f t="shared" si="49"/>
        <v>0</v>
      </c>
      <c r="W117" s="69"/>
      <c r="X117" s="317"/>
    </row>
    <row r="118" spans="1:24" ht="17.25" customHeight="1" outlineLevel="2">
      <c r="A118" s="48"/>
      <c r="B118" s="58"/>
      <c r="C118" s="59"/>
      <c r="D118" s="59"/>
      <c r="E118" s="60"/>
      <c r="F118" s="60"/>
      <c r="G118" s="61" t="s">
        <v>34</v>
      </c>
      <c r="H118" s="69"/>
      <c r="I118" s="69">
        <v>2772</v>
      </c>
      <c r="J118" s="149">
        <v>3617</v>
      </c>
      <c r="K118" s="206"/>
      <c r="L118" s="209"/>
      <c r="M118" s="69"/>
      <c r="N118" s="69"/>
      <c r="O118" s="69"/>
      <c r="P118" s="69"/>
      <c r="Q118" s="69"/>
      <c r="R118" s="69"/>
      <c r="S118" s="69"/>
      <c r="T118" s="130">
        <f t="shared" si="48"/>
        <v>6389</v>
      </c>
      <c r="U118" s="69"/>
      <c r="V118" s="69">
        <f t="shared" si="49"/>
        <v>0</v>
      </c>
      <c r="W118" s="69"/>
      <c r="X118" s="317"/>
    </row>
    <row r="119" spans="1:24" ht="17.25" customHeight="1" outlineLevel="2">
      <c r="A119" s="48"/>
      <c r="B119" s="58"/>
      <c r="C119" s="59"/>
      <c r="D119" s="59"/>
      <c r="E119" s="60"/>
      <c r="F119" s="60"/>
      <c r="G119" s="61" t="s">
        <v>35</v>
      </c>
      <c r="H119" s="69"/>
      <c r="I119" s="69">
        <v>5101.6703905758677</v>
      </c>
      <c r="J119" s="149">
        <v>5080.1961315656272</v>
      </c>
      <c r="K119" s="206"/>
      <c r="L119" s="209"/>
      <c r="M119" s="69"/>
      <c r="N119" s="69"/>
      <c r="O119" s="69"/>
      <c r="P119" s="69"/>
      <c r="Q119" s="69"/>
      <c r="R119" s="69"/>
      <c r="S119" s="69"/>
      <c r="T119" s="130">
        <f t="shared" si="48"/>
        <v>10181.866522141496</v>
      </c>
      <c r="U119" s="69"/>
      <c r="V119" s="69">
        <f t="shared" si="49"/>
        <v>0</v>
      </c>
      <c r="W119" s="69"/>
      <c r="X119" s="317"/>
    </row>
    <row r="120" spans="1:24" ht="17.25" customHeight="1" outlineLevel="2">
      <c r="A120" s="48"/>
      <c r="B120" s="58"/>
      <c r="C120" s="59"/>
      <c r="D120" s="59"/>
      <c r="E120" s="60"/>
      <c r="F120" s="60"/>
      <c r="G120" s="61" t="s">
        <v>36</v>
      </c>
      <c r="H120" s="69"/>
      <c r="I120" s="69"/>
      <c r="J120" s="149"/>
      <c r="K120" s="206"/>
      <c r="L120" s="209"/>
      <c r="M120" s="69"/>
      <c r="N120" s="69"/>
      <c r="O120" s="69"/>
      <c r="P120" s="69"/>
      <c r="Q120" s="69"/>
      <c r="R120" s="69"/>
      <c r="S120" s="69"/>
      <c r="T120" s="130">
        <f t="shared" si="48"/>
        <v>0</v>
      </c>
      <c r="U120" s="69"/>
      <c r="V120" s="69">
        <f t="shared" si="49"/>
        <v>0</v>
      </c>
      <c r="W120" s="69"/>
      <c r="X120" s="317"/>
    </row>
    <row r="121" spans="1:24" ht="17.25" customHeight="1" outlineLevel="2">
      <c r="A121" s="48"/>
      <c r="B121" s="58"/>
      <c r="C121" s="59"/>
      <c r="D121" s="59"/>
      <c r="E121" s="60"/>
      <c r="F121" s="60"/>
      <c r="G121" s="61" t="s">
        <v>37</v>
      </c>
      <c r="H121" s="69"/>
      <c r="I121" s="69"/>
      <c r="J121" s="149"/>
      <c r="K121" s="206"/>
      <c r="L121" s="209"/>
      <c r="M121" s="69"/>
      <c r="N121" s="69"/>
      <c r="O121" s="69"/>
      <c r="P121" s="69"/>
      <c r="Q121" s="69"/>
      <c r="R121" s="69"/>
      <c r="S121" s="69"/>
      <c r="T121" s="130">
        <f t="shared" si="48"/>
        <v>0</v>
      </c>
      <c r="U121" s="69"/>
      <c r="V121" s="69">
        <f t="shared" si="49"/>
        <v>0</v>
      </c>
      <c r="W121" s="69"/>
      <c r="X121" s="317"/>
    </row>
    <row r="122" spans="1:24" ht="15.75" customHeight="1" outlineLevel="1">
      <c r="A122" s="48"/>
      <c r="B122" s="49">
        <v>5.2</v>
      </c>
      <c r="C122" s="339" t="s">
        <v>62</v>
      </c>
      <c r="D122" s="340"/>
      <c r="E122" s="159">
        <v>45945</v>
      </c>
      <c r="F122" s="50">
        <v>45991</v>
      </c>
      <c r="G122" s="160"/>
      <c r="H122" s="136"/>
      <c r="I122" s="137"/>
      <c r="J122" s="138"/>
      <c r="K122" s="138"/>
      <c r="L122" s="232"/>
      <c r="M122" s="140"/>
      <c r="N122" s="141"/>
      <c r="O122" s="141"/>
      <c r="P122" s="141"/>
      <c r="Q122" s="141"/>
      <c r="R122" s="141"/>
      <c r="S122" s="141"/>
      <c r="T122" s="142">
        <f t="shared" ref="T122:W122" si="50">SUM(T123:T128)</f>
        <v>0</v>
      </c>
      <c r="U122" s="142">
        <f t="shared" si="50"/>
        <v>0</v>
      </c>
      <c r="V122" s="142">
        <f t="shared" si="50"/>
        <v>31662</v>
      </c>
      <c r="W122" s="142">
        <f t="shared" si="50"/>
        <v>3000</v>
      </c>
      <c r="X122" s="318"/>
    </row>
    <row r="123" spans="1:24" ht="17.25" customHeight="1" outlineLevel="2">
      <c r="A123" s="48"/>
      <c r="B123" s="58"/>
      <c r="C123" s="59"/>
      <c r="D123" s="59"/>
      <c r="E123" s="60"/>
      <c r="F123" s="60"/>
      <c r="G123" s="61" t="s">
        <v>32</v>
      </c>
      <c r="H123" s="69"/>
      <c r="I123" s="69"/>
      <c r="J123" s="149"/>
      <c r="K123" s="206"/>
      <c r="L123" s="209"/>
      <c r="M123" s="69"/>
      <c r="N123" s="69"/>
      <c r="O123" s="69"/>
      <c r="P123" s="69"/>
      <c r="Q123" s="110">
        <v>10481</v>
      </c>
      <c r="R123" s="110">
        <v>10481</v>
      </c>
      <c r="S123" s="69"/>
      <c r="T123" s="130">
        <f t="shared" ref="T123:T128" si="51">SUM(H123:K123)</f>
        <v>0</v>
      </c>
      <c r="U123" s="130">
        <f>SUM(H123:K123)</f>
        <v>0</v>
      </c>
      <c r="V123" s="69">
        <f t="shared" ref="V123:V125" si="52">SUM(L123:S123)</f>
        <v>20962</v>
      </c>
      <c r="W123" s="69"/>
      <c r="X123" s="317"/>
    </row>
    <row r="124" spans="1:24" ht="17.25" customHeight="1" outlineLevel="2">
      <c r="A124" s="48"/>
      <c r="B124" s="58"/>
      <c r="C124" s="59"/>
      <c r="D124" s="59"/>
      <c r="E124" s="60"/>
      <c r="F124" s="60"/>
      <c r="G124" s="61" t="s">
        <v>33</v>
      </c>
      <c r="H124" s="69"/>
      <c r="I124" s="69"/>
      <c r="J124" s="149"/>
      <c r="K124" s="206"/>
      <c r="L124" s="209"/>
      <c r="M124" s="69"/>
      <c r="N124" s="69"/>
      <c r="O124" s="69"/>
      <c r="P124" s="69"/>
      <c r="Q124" s="69">
        <v>1700</v>
      </c>
      <c r="R124" s="69">
        <v>3400</v>
      </c>
      <c r="S124" s="69"/>
      <c r="T124" s="130">
        <f t="shared" si="51"/>
        <v>0</v>
      </c>
      <c r="U124" s="69"/>
      <c r="V124" s="69">
        <f t="shared" si="52"/>
        <v>5100</v>
      </c>
      <c r="W124" s="69"/>
      <c r="X124" s="317"/>
    </row>
    <row r="125" spans="1:24" ht="17.25" customHeight="1" outlineLevel="2">
      <c r="A125" s="48"/>
      <c r="B125" s="58"/>
      <c r="C125" s="59"/>
      <c r="D125" s="59"/>
      <c r="E125" s="60"/>
      <c r="F125" s="60"/>
      <c r="G125" s="61" t="s">
        <v>34</v>
      </c>
      <c r="H125" s="69"/>
      <c r="I125" s="69"/>
      <c r="J125" s="149"/>
      <c r="K125" s="206"/>
      <c r="L125" s="209"/>
      <c r="M125" s="69"/>
      <c r="N125" s="69"/>
      <c r="O125" s="69"/>
      <c r="P125" s="69"/>
      <c r="Q125" s="92">
        <v>1900</v>
      </c>
      <c r="R125" s="92">
        <v>3700</v>
      </c>
      <c r="S125" s="69"/>
      <c r="T125" s="130">
        <f t="shared" si="51"/>
        <v>0</v>
      </c>
      <c r="U125" s="69"/>
      <c r="V125" s="69">
        <f t="shared" si="52"/>
        <v>5600</v>
      </c>
      <c r="W125" s="69"/>
      <c r="X125" s="317"/>
    </row>
    <row r="126" spans="1:24" ht="17.25" customHeight="1" outlineLevel="2">
      <c r="A126" s="48"/>
      <c r="B126" s="58"/>
      <c r="C126" s="59"/>
      <c r="D126" s="59"/>
      <c r="E126" s="60"/>
      <c r="F126" s="60"/>
      <c r="G126" s="61" t="s">
        <v>35</v>
      </c>
      <c r="H126" s="69"/>
      <c r="I126" s="69"/>
      <c r="J126" s="149"/>
      <c r="K126" s="206"/>
      <c r="L126" s="209"/>
      <c r="M126" s="69"/>
      <c r="N126" s="69"/>
      <c r="O126" s="69"/>
      <c r="P126" s="69"/>
      <c r="Q126" s="92">
        <v>1000</v>
      </c>
      <c r="R126" s="92">
        <v>2000</v>
      </c>
      <c r="S126" s="69"/>
      <c r="T126" s="130">
        <f t="shared" si="51"/>
        <v>0</v>
      </c>
      <c r="U126" s="69"/>
      <c r="V126" s="69"/>
      <c r="W126" s="69">
        <f t="shared" ref="W126:W127" si="53">SUM(L126:S126)</f>
        <v>3000</v>
      </c>
      <c r="X126" s="317"/>
    </row>
    <row r="127" spans="1:24" ht="17.25" customHeight="1" outlineLevel="2">
      <c r="A127" s="48"/>
      <c r="B127" s="58"/>
      <c r="C127" s="59"/>
      <c r="D127" s="59"/>
      <c r="E127" s="60"/>
      <c r="F127" s="60"/>
      <c r="G127" s="61" t="s">
        <v>36</v>
      </c>
      <c r="H127" s="69"/>
      <c r="I127" s="69"/>
      <c r="J127" s="149"/>
      <c r="K127" s="206"/>
      <c r="L127" s="209"/>
      <c r="M127" s="69"/>
      <c r="N127" s="69"/>
      <c r="O127" s="69"/>
      <c r="P127" s="69"/>
      <c r="Q127" s="67"/>
      <c r="R127" s="67"/>
      <c r="S127" s="69"/>
      <c r="T127" s="130">
        <f t="shared" si="51"/>
        <v>0</v>
      </c>
      <c r="U127" s="69"/>
      <c r="V127" s="69"/>
      <c r="W127" s="69">
        <f t="shared" si="53"/>
        <v>0</v>
      </c>
      <c r="X127" s="317"/>
    </row>
    <row r="128" spans="1:24" ht="17.25" customHeight="1" outlineLevel="2">
      <c r="A128" s="48"/>
      <c r="B128" s="58"/>
      <c r="C128" s="59"/>
      <c r="D128" s="59"/>
      <c r="E128" s="60"/>
      <c r="F128" s="60"/>
      <c r="G128" s="61" t="s">
        <v>37</v>
      </c>
      <c r="H128" s="69"/>
      <c r="I128" s="69"/>
      <c r="J128" s="149"/>
      <c r="K128" s="206"/>
      <c r="L128" s="209"/>
      <c r="M128" s="69"/>
      <c r="N128" s="69"/>
      <c r="O128" s="69"/>
      <c r="P128" s="69"/>
      <c r="Q128" s="69"/>
      <c r="R128" s="69"/>
      <c r="S128" s="69"/>
      <c r="T128" s="130">
        <f t="shared" si="51"/>
        <v>0</v>
      </c>
      <c r="U128" s="69"/>
      <c r="V128" s="69">
        <f>SUM(L128:S128)</f>
        <v>0</v>
      </c>
      <c r="W128" s="69"/>
      <c r="X128" s="317"/>
    </row>
    <row r="129" spans="1:24" ht="15.75" customHeight="1" outlineLevel="1">
      <c r="A129" s="48"/>
      <c r="B129" s="49">
        <v>5.3</v>
      </c>
      <c r="C129" s="332" t="s">
        <v>63</v>
      </c>
      <c r="D129" s="330"/>
      <c r="E129" s="50">
        <v>45853</v>
      </c>
      <c r="F129" s="49" t="s">
        <v>77</v>
      </c>
      <c r="G129" s="135"/>
      <c r="H129" s="136"/>
      <c r="I129" s="137"/>
      <c r="J129" s="138"/>
      <c r="K129" s="138"/>
      <c r="L129" s="232"/>
      <c r="M129" s="140"/>
      <c r="N129" s="141"/>
      <c r="O129" s="141"/>
      <c r="P129" s="141"/>
      <c r="Q129" s="141"/>
      <c r="R129" s="141"/>
      <c r="S129" s="141"/>
      <c r="T129" s="142">
        <f t="shared" ref="T129:W129" si="54">SUM(T130:T135)</f>
        <v>0</v>
      </c>
      <c r="U129" s="142">
        <f t="shared" si="54"/>
        <v>30382.174580612835</v>
      </c>
      <c r="V129" s="142">
        <f t="shared" si="54"/>
        <v>0</v>
      </c>
      <c r="W129" s="142">
        <f t="shared" si="54"/>
        <v>17302</v>
      </c>
      <c r="X129" s="318"/>
    </row>
    <row r="130" spans="1:24" ht="17.25" customHeight="1" outlineLevel="2">
      <c r="A130" s="48"/>
      <c r="B130" s="58"/>
      <c r="C130" s="59"/>
      <c r="D130" s="59"/>
      <c r="E130" s="60"/>
      <c r="F130" s="60"/>
      <c r="G130" s="61" t="s">
        <v>32</v>
      </c>
      <c r="H130" s="69"/>
      <c r="I130" s="69"/>
      <c r="J130" s="149"/>
      <c r="K130" s="206"/>
      <c r="L130" s="209"/>
      <c r="M130" s="69"/>
      <c r="N130" s="69"/>
      <c r="O130" s="69"/>
      <c r="P130" s="69"/>
      <c r="Q130" s="69"/>
      <c r="R130" s="69"/>
      <c r="S130" s="69"/>
      <c r="T130" s="130"/>
      <c r="U130" s="69">
        <f t="shared" ref="U130:U135" si="55">SUM(H130:M130)</f>
        <v>0</v>
      </c>
      <c r="V130" s="69"/>
      <c r="W130" s="69">
        <f t="shared" ref="W130:W135" si="56">SUM(N130:S130)</f>
        <v>0</v>
      </c>
      <c r="X130" s="317"/>
    </row>
    <row r="131" spans="1:24" ht="17.25" customHeight="1" outlineLevel="2">
      <c r="A131" s="48"/>
      <c r="B131" s="58"/>
      <c r="C131" s="59"/>
      <c r="D131" s="59"/>
      <c r="E131" s="60"/>
      <c r="F131" s="60"/>
      <c r="G131" s="61" t="s">
        <v>33</v>
      </c>
      <c r="H131" s="69"/>
      <c r="I131" s="69"/>
      <c r="J131" s="149"/>
      <c r="K131" s="206"/>
      <c r="L131" s="209"/>
      <c r="M131" s="69"/>
      <c r="N131" s="69"/>
      <c r="O131" s="69">
        <v>2000</v>
      </c>
      <c r="P131" s="69">
        <v>2000</v>
      </c>
      <c r="Q131" s="69"/>
      <c r="R131" s="69"/>
      <c r="S131" s="69"/>
      <c r="T131" s="130"/>
      <c r="U131" s="69">
        <f t="shared" si="55"/>
        <v>0</v>
      </c>
      <c r="V131" s="69"/>
      <c r="W131" s="69">
        <f t="shared" si="56"/>
        <v>4000</v>
      </c>
      <c r="X131" s="317"/>
    </row>
    <row r="132" spans="1:24" ht="17.25" customHeight="1" outlineLevel="2">
      <c r="A132" s="48"/>
      <c r="B132" s="58"/>
      <c r="C132" s="59"/>
      <c r="D132" s="59"/>
      <c r="E132" s="60"/>
      <c r="F132" s="60"/>
      <c r="G132" s="61" t="s">
        <v>34</v>
      </c>
      <c r="H132" s="69">
        <v>1020</v>
      </c>
      <c r="I132" s="69">
        <v>832</v>
      </c>
      <c r="J132" s="149">
        <v>1024</v>
      </c>
      <c r="K132" s="206">
        <v>982</v>
      </c>
      <c r="L132" s="209">
        <v>533</v>
      </c>
      <c r="M132" s="69">
        <v>475</v>
      </c>
      <c r="N132" s="248">
        <v>445</v>
      </c>
      <c r="O132" s="69">
        <v>4000</v>
      </c>
      <c r="P132" s="69">
        <v>4000</v>
      </c>
      <c r="Q132" s="69"/>
      <c r="R132" s="69"/>
      <c r="S132" s="69"/>
      <c r="T132" s="130"/>
      <c r="U132" s="69">
        <f t="shared" si="55"/>
        <v>4866</v>
      </c>
      <c r="V132" s="69"/>
      <c r="W132" s="69">
        <f t="shared" si="56"/>
        <v>8445</v>
      </c>
      <c r="X132" s="317"/>
    </row>
    <row r="133" spans="1:24" ht="17.25" customHeight="1" outlineLevel="2">
      <c r="A133" s="48"/>
      <c r="B133" s="58"/>
      <c r="C133" s="59"/>
      <c r="D133" s="59"/>
      <c r="E133" s="60"/>
      <c r="F133" s="60"/>
      <c r="G133" s="61" t="s">
        <v>35</v>
      </c>
      <c r="H133" s="69">
        <v>1185.1745806128345</v>
      </c>
      <c r="I133" s="69">
        <v>449</v>
      </c>
      <c r="J133" s="149">
        <v>539</v>
      </c>
      <c r="K133" s="206">
        <v>901</v>
      </c>
      <c r="L133" s="209">
        <v>898</v>
      </c>
      <c r="M133" s="69">
        <v>901</v>
      </c>
      <c r="N133" s="248">
        <v>857</v>
      </c>
      <c r="O133" s="69">
        <v>2000</v>
      </c>
      <c r="P133" s="69">
        <v>2000</v>
      </c>
      <c r="Q133" s="69"/>
      <c r="R133" s="69"/>
      <c r="S133" s="69"/>
      <c r="T133" s="130"/>
      <c r="U133" s="69">
        <f t="shared" si="55"/>
        <v>4873.1745806128347</v>
      </c>
      <c r="V133" s="69"/>
      <c r="W133" s="69">
        <f t="shared" si="56"/>
        <v>4857</v>
      </c>
      <c r="X133" s="317"/>
    </row>
    <row r="134" spans="1:24" ht="17.25" customHeight="1" outlineLevel="2">
      <c r="A134" s="48"/>
      <c r="B134" s="58"/>
      <c r="C134" s="59"/>
      <c r="D134" s="59"/>
      <c r="E134" s="60"/>
      <c r="F134" s="60"/>
      <c r="G134" s="61" t="s">
        <v>36</v>
      </c>
      <c r="H134" s="69">
        <v>5024</v>
      </c>
      <c r="I134" s="69">
        <v>4673</v>
      </c>
      <c r="J134" s="149">
        <v>3501</v>
      </c>
      <c r="K134" s="206">
        <v>4056</v>
      </c>
      <c r="L134" s="209">
        <v>2775</v>
      </c>
      <c r="M134" s="69">
        <v>614</v>
      </c>
      <c r="N134" s="69" t="s">
        <v>148</v>
      </c>
      <c r="O134" s="69"/>
      <c r="P134" s="69"/>
      <c r="Q134" s="69"/>
      <c r="R134" s="69"/>
      <c r="S134" s="69"/>
      <c r="T134" s="130"/>
      <c r="U134" s="69">
        <f t="shared" si="55"/>
        <v>20643</v>
      </c>
      <c r="V134" s="69"/>
      <c r="W134" s="69">
        <f t="shared" si="56"/>
        <v>0</v>
      </c>
      <c r="X134" s="317"/>
    </row>
    <row r="135" spans="1:24" ht="17.25" customHeight="1" outlineLevel="2">
      <c r="A135" s="48"/>
      <c r="B135" s="58"/>
      <c r="C135" s="59"/>
      <c r="D135" s="59"/>
      <c r="E135" s="60"/>
      <c r="F135" s="60"/>
      <c r="G135" s="61" t="s">
        <v>37</v>
      </c>
      <c r="H135" s="69"/>
      <c r="I135" s="69"/>
      <c r="J135" s="149"/>
      <c r="K135" s="206"/>
      <c r="L135" s="209"/>
      <c r="M135" s="69"/>
      <c r="N135" s="69"/>
      <c r="O135" s="69"/>
      <c r="P135" s="69"/>
      <c r="Q135" s="69"/>
      <c r="R135" s="69"/>
      <c r="S135" s="69"/>
      <c r="T135" s="130"/>
      <c r="U135" s="69">
        <f t="shared" si="55"/>
        <v>0</v>
      </c>
      <c r="V135" s="69"/>
      <c r="W135" s="69">
        <f t="shared" si="56"/>
        <v>0</v>
      </c>
      <c r="X135" s="317"/>
    </row>
    <row r="136" spans="1:24" ht="21" customHeight="1">
      <c r="A136" s="19"/>
      <c r="B136" s="39">
        <v>6</v>
      </c>
      <c r="C136" s="40" t="s">
        <v>65</v>
      </c>
      <c r="D136" s="41"/>
      <c r="E136" s="71"/>
      <c r="F136" s="71"/>
      <c r="G136" s="72"/>
      <c r="H136" s="111"/>
      <c r="I136" s="112"/>
      <c r="J136" s="113"/>
      <c r="K136" s="230"/>
      <c r="L136" s="231"/>
      <c r="M136" s="111"/>
      <c r="N136" s="111"/>
      <c r="O136" s="111"/>
      <c r="P136" s="111"/>
      <c r="Q136" s="111"/>
      <c r="R136" s="111"/>
      <c r="S136" s="111"/>
      <c r="T136" s="115">
        <f t="shared" ref="T136:W136" si="57">T137+T144+T151</f>
        <v>43811</v>
      </c>
      <c r="U136" s="115">
        <f t="shared" si="57"/>
        <v>3474</v>
      </c>
      <c r="V136" s="115">
        <f t="shared" si="57"/>
        <v>12971</v>
      </c>
      <c r="W136" s="115">
        <f t="shared" si="57"/>
        <v>0</v>
      </c>
      <c r="X136" s="111"/>
    </row>
    <row r="137" spans="1:24" ht="15.75" customHeight="1" outlineLevel="1">
      <c r="A137" s="48"/>
      <c r="B137" s="49">
        <v>6.1</v>
      </c>
      <c r="C137" s="339" t="s">
        <v>66</v>
      </c>
      <c r="D137" s="340"/>
      <c r="E137" s="50">
        <v>45792</v>
      </c>
      <c r="F137" s="50">
        <v>45838</v>
      </c>
      <c r="G137" s="135"/>
      <c r="H137" s="150"/>
      <c r="I137" s="151"/>
      <c r="J137" s="119"/>
      <c r="K137" s="138"/>
      <c r="L137" s="232"/>
      <c r="M137" s="121"/>
      <c r="N137" s="118"/>
      <c r="O137" s="118"/>
      <c r="P137" s="118"/>
      <c r="Q137" s="118"/>
      <c r="R137" s="118"/>
      <c r="S137" s="118"/>
      <c r="T137" s="91">
        <f t="shared" ref="T137:W137" si="58">SUM(T138:T143)</f>
        <v>38614</v>
      </c>
      <c r="U137" s="91">
        <f t="shared" si="58"/>
        <v>0</v>
      </c>
      <c r="V137" s="91">
        <f t="shared" si="58"/>
        <v>4871</v>
      </c>
      <c r="W137" s="91">
        <f t="shared" si="58"/>
        <v>0</v>
      </c>
      <c r="X137" s="318"/>
    </row>
    <row r="138" spans="1:24" ht="17.25" customHeight="1" outlineLevel="2">
      <c r="A138" s="48"/>
      <c r="B138" s="58"/>
      <c r="C138" s="59"/>
      <c r="D138" s="59"/>
      <c r="E138" s="60"/>
      <c r="F138" s="60"/>
      <c r="G138" s="61" t="s">
        <v>32</v>
      </c>
      <c r="H138" s="69"/>
      <c r="I138" s="69"/>
      <c r="J138" s="149"/>
      <c r="K138" s="206"/>
      <c r="L138" s="228">
        <v>6142</v>
      </c>
      <c r="M138" s="110">
        <v>13858</v>
      </c>
      <c r="N138" s="110">
        <v>4871</v>
      </c>
      <c r="O138" s="69"/>
      <c r="P138" s="69"/>
      <c r="Q138" s="69"/>
      <c r="R138" s="69"/>
      <c r="S138" s="69"/>
      <c r="T138" s="130">
        <f t="shared" ref="T138:T141" si="59">SUM(H138:M138)</f>
        <v>20000</v>
      </c>
      <c r="U138" s="69"/>
      <c r="V138" s="69">
        <f t="shared" ref="V138:V141" si="60">SUM(N138:S138)</f>
        <v>4871</v>
      </c>
      <c r="W138" s="69"/>
      <c r="X138" s="317"/>
    </row>
    <row r="139" spans="1:24" ht="17.25" customHeight="1" outlineLevel="2">
      <c r="A139" s="48"/>
      <c r="B139" s="58"/>
      <c r="C139" s="59"/>
      <c r="D139" s="59"/>
      <c r="E139" s="60"/>
      <c r="F139" s="60"/>
      <c r="G139" s="61" t="s">
        <v>33</v>
      </c>
      <c r="H139" s="69"/>
      <c r="I139" s="69"/>
      <c r="J139" s="149"/>
      <c r="K139" s="206"/>
      <c r="L139" s="209">
        <v>2278</v>
      </c>
      <c r="M139" s="92">
        <v>6955</v>
      </c>
      <c r="N139" s="69"/>
      <c r="O139" s="69"/>
      <c r="P139" s="69"/>
      <c r="Q139" s="69"/>
      <c r="R139" s="69"/>
      <c r="S139" s="69"/>
      <c r="T139" s="130">
        <f t="shared" si="59"/>
        <v>9233</v>
      </c>
      <c r="U139" s="69"/>
      <c r="V139" s="69">
        <f t="shared" si="60"/>
        <v>0</v>
      </c>
      <c r="W139" s="69"/>
      <c r="X139" s="317"/>
    </row>
    <row r="140" spans="1:24" ht="17.25" customHeight="1" outlineLevel="2">
      <c r="A140" s="48"/>
      <c r="B140" s="58"/>
      <c r="C140" s="59"/>
      <c r="D140" s="59"/>
      <c r="E140" s="60"/>
      <c r="F140" s="60"/>
      <c r="G140" s="61" t="s">
        <v>34</v>
      </c>
      <c r="H140" s="69"/>
      <c r="I140" s="69"/>
      <c r="J140" s="149"/>
      <c r="K140" s="206"/>
      <c r="L140" s="209">
        <v>1562</v>
      </c>
      <c r="M140" s="69">
        <v>4090</v>
      </c>
      <c r="N140" s="69"/>
      <c r="O140" s="69"/>
      <c r="P140" s="69"/>
      <c r="Q140" s="69"/>
      <c r="R140" s="69"/>
      <c r="S140" s="69"/>
      <c r="T140" s="130">
        <f t="shared" si="59"/>
        <v>5652</v>
      </c>
      <c r="U140" s="69"/>
      <c r="V140" s="69">
        <f t="shared" si="60"/>
        <v>0</v>
      </c>
      <c r="W140" s="69"/>
      <c r="X140" s="317"/>
    </row>
    <row r="141" spans="1:24" ht="17.25" customHeight="1" outlineLevel="2">
      <c r="A141" s="48"/>
      <c r="B141" s="58"/>
      <c r="C141" s="59"/>
      <c r="D141" s="59"/>
      <c r="E141" s="60"/>
      <c r="F141" s="60"/>
      <c r="G141" s="61" t="s">
        <v>35</v>
      </c>
      <c r="H141" s="69"/>
      <c r="I141" s="69"/>
      <c r="J141" s="149"/>
      <c r="K141" s="206"/>
      <c r="L141" s="209">
        <v>1376</v>
      </c>
      <c r="M141" s="69">
        <v>2353</v>
      </c>
      <c r="N141" s="69"/>
      <c r="O141" s="69"/>
      <c r="P141" s="69"/>
      <c r="Q141" s="69"/>
      <c r="R141" s="69"/>
      <c r="S141" s="69"/>
      <c r="T141" s="130">
        <f t="shared" si="59"/>
        <v>3729</v>
      </c>
      <c r="U141" s="69"/>
      <c r="V141" s="69">
        <f t="shared" si="60"/>
        <v>0</v>
      </c>
      <c r="W141" s="69"/>
      <c r="X141" s="317"/>
    </row>
    <row r="142" spans="1:24" ht="17.25" customHeight="1" outlineLevel="2">
      <c r="A142" s="48"/>
      <c r="B142" s="58"/>
      <c r="C142" s="59"/>
      <c r="D142" s="59"/>
      <c r="E142" s="60"/>
      <c r="F142" s="60"/>
      <c r="G142" s="61" t="s">
        <v>36</v>
      </c>
      <c r="H142" s="69"/>
      <c r="I142" s="69"/>
      <c r="J142" s="149"/>
      <c r="K142" s="206"/>
      <c r="L142" s="209"/>
      <c r="M142" s="69"/>
      <c r="N142" s="69"/>
      <c r="O142" s="69"/>
      <c r="P142" s="69"/>
      <c r="Q142" s="69"/>
      <c r="R142" s="69"/>
      <c r="S142" s="69"/>
      <c r="T142" s="130"/>
      <c r="U142" s="69"/>
      <c r="V142" s="69"/>
      <c r="W142" s="69">
        <f>SUM(L142:S142)</f>
        <v>0</v>
      </c>
      <c r="X142" s="317"/>
    </row>
    <row r="143" spans="1:24" ht="17.25" customHeight="1" outlineLevel="2">
      <c r="A143" s="48"/>
      <c r="B143" s="58"/>
      <c r="C143" s="59"/>
      <c r="D143" s="59"/>
      <c r="E143" s="60"/>
      <c r="F143" s="60"/>
      <c r="G143" s="61" t="s">
        <v>37</v>
      </c>
      <c r="H143" s="69"/>
      <c r="I143" s="69"/>
      <c r="J143" s="149"/>
      <c r="K143" s="206"/>
      <c r="L143" s="209"/>
      <c r="M143" s="69"/>
      <c r="N143" s="69"/>
      <c r="O143" s="69"/>
      <c r="P143" s="69"/>
      <c r="Q143" s="69"/>
      <c r="R143" s="69"/>
      <c r="S143" s="69"/>
      <c r="T143" s="130"/>
      <c r="U143" s="69"/>
      <c r="V143" s="69"/>
      <c r="W143" s="69"/>
      <c r="X143" s="317"/>
    </row>
    <row r="144" spans="1:24" ht="15.75" customHeight="1" outlineLevel="1">
      <c r="A144" s="48"/>
      <c r="B144" s="49">
        <v>6.2</v>
      </c>
      <c r="C144" s="332" t="s">
        <v>67</v>
      </c>
      <c r="D144" s="330"/>
      <c r="E144" s="50">
        <v>45839</v>
      </c>
      <c r="F144" s="50">
        <v>45930</v>
      </c>
      <c r="G144" s="135"/>
      <c r="H144" s="136"/>
      <c r="I144" s="137"/>
      <c r="J144" s="138"/>
      <c r="K144" s="138"/>
      <c r="L144" s="232"/>
      <c r="M144" s="140"/>
      <c r="N144" s="141"/>
      <c r="O144" s="141"/>
      <c r="P144" s="141"/>
      <c r="Q144" s="141"/>
      <c r="R144" s="141"/>
      <c r="S144" s="141"/>
      <c r="T144" s="142">
        <f t="shared" ref="T144:W144" si="61">SUM(T145:T150)</f>
        <v>0</v>
      </c>
      <c r="U144" s="142">
        <f t="shared" si="61"/>
        <v>0</v>
      </c>
      <c r="V144" s="142">
        <f t="shared" si="61"/>
        <v>8100</v>
      </c>
      <c r="W144" s="142">
        <f t="shared" si="61"/>
        <v>0</v>
      </c>
      <c r="X144" s="318"/>
    </row>
    <row r="145" spans="1:24" ht="17.25" customHeight="1" outlineLevel="2">
      <c r="A145" s="48"/>
      <c r="B145" s="58"/>
      <c r="C145" s="59"/>
      <c r="D145" s="59"/>
      <c r="E145" s="60"/>
      <c r="F145" s="60"/>
      <c r="G145" s="61" t="s">
        <v>32</v>
      </c>
      <c r="H145" s="69"/>
      <c r="I145" s="69"/>
      <c r="J145" s="149"/>
      <c r="K145" s="206"/>
      <c r="L145" s="209"/>
      <c r="M145" s="69"/>
      <c r="N145" s="69"/>
      <c r="O145" s="69"/>
      <c r="P145" s="69"/>
      <c r="Q145" s="69"/>
      <c r="R145" s="69"/>
      <c r="S145" s="69"/>
      <c r="T145" s="130"/>
      <c r="U145" s="69"/>
      <c r="V145" s="69">
        <f t="shared" ref="V145:V148" si="62">SUM(L145:S145)</f>
        <v>0</v>
      </c>
      <c r="W145" s="69"/>
      <c r="X145" s="317"/>
    </row>
    <row r="146" spans="1:24" ht="17.25" customHeight="1" outlineLevel="2">
      <c r="A146" s="48"/>
      <c r="B146" s="58"/>
      <c r="C146" s="59"/>
      <c r="D146" s="59"/>
      <c r="E146" s="60"/>
      <c r="F146" s="60"/>
      <c r="G146" s="61" t="s">
        <v>33</v>
      </c>
      <c r="H146" s="69"/>
      <c r="I146" s="69"/>
      <c r="J146" s="149"/>
      <c r="K146" s="206"/>
      <c r="L146" s="209"/>
      <c r="M146" s="69"/>
      <c r="N146" s="69"/>
      <c r="O146" s="69"/>
      <c r="P146" s="69"/>
      <c r="Q146" s="69"/>
      <c r="R146" s="69"/>
      <c r="S146" s="69"/>
      <c r="T146" s="130"/>
      <c r="U146" s="69"/>
      <c r="V146" s="69">
        <f t="shared" si="62"/>
        <v>0</v>
      </c>
      <c r="W146" s="69"/>
      <c r="X146" s="317"/>
    </row>
    <row r="147" spans="1:24" ht="17.25" customHeight="1" outlineLevel="2">
      <c r="A147" s="48"/>
      <c r="B147" s="58"/>
      <c r="C147" s="59"/>
      <c r="D147" s="59"/>
      <c r="E147" s="60"/>
      <c r="F147" s="60"/>
      <c r="G147" s="61" t="s">
        <v>34</v>
      </c>
      <c r="H147" s="69"/>
      <c r="I147" s="69"/>
      <c r="J147" s="149"/>
      <c r="K147" s="206"/>
      <c r="L147" s="209"/>
      <c r="M147" s="69"/>
      <c r="N147" s="69">
        <v>1200</v>
      </c>
      <c r="O147" s="69">
        <v>1200</v>
      </c>
      <c r="P147" s="69">
        <v>1200</v>
      </c>
      <c r="Q147" s="69"/>
      <c r="R147" s="69"/>
      <c r="S147" s="69"/>
      <c r="T147" s="130"/>
      <c r="U147" s="69"/>
      <c r="V147" s="69">
        <f t="shared" si="62"/>
        <v>3600</v>
      </c>
      <c r="W147" s="69"/>
      <c r="X147" s="317"/>
    </row>
    <row r="148" spans="1:24" ht="17.25" customHeight="1" outlineLevel="2">
      <c r="A148" s="48"/>
      <c r="B148" s="58"/>
      <c r="C148" s="59"/>
      <c r="D148" s="59"/>
      <c r="E148" s="60"/>
      <c r="F148" s="60"/>
      <c r="G148" s="61" t="s">
        <v>35</v>
      </c>
      <c r="H148" s="69"/>
      <c r="I148" s="69"/>
      <c r="J148" s="149"/>
      <c r="K148" s="206"/>
      <c r="L148" s="209"/>
      <c r="M148" s="69"/>
      <c r="N148" s="69">
        <v>1500</v>
      </c>
      <c r="O148" s="69">
        <v>1500</v>
      </c>
      <c r="P148" s="69">
        <v>1500</v>
      </c>
      <c r="Q148" s="69"/>
      <c r="R148" s="69"/>
      <c r="S148" s="69"/>
      <c r="T148" s="130"/>
      <c r="U148" s="69"/>
      <c r="V148" s="69">
        <f t="shared" si="62"/>
        <v>4500</v>
      </c>
      <c r="W148" s="69"/>
      <c r="X148" s="317"/>
    </row>
    <row r="149" spans="1:24" ht="17.25" customHeight="1" outlineLevel="2">
      <c r="A149" s="48"/>
      <c r="B149" s="58"/>
      <c r="C149" s="59"/>
      <c r="D149" s="59"/>
      <c r="E149" s="60"/>
      <c r="F149" s="60"/>
      <c r="G149" s="61" t="s">
        <v>36</v>
      </c>
      <c r="H149" s="69"/>
      <c r="I149" s="69"/>
      <c r="J149" s="149"/>
      <c r="K149" s="206"/>
      <c r="L149" s="209"/>
      <c r="M149" s="69"/>
      <c r="N149" s="69"/>
      <c r="O149" s="69"/>
      <c r="P149" s="69"/>
      <c r="Q149" s="69"/>
      <c r="R149" s="69"/>
      <c r="S149" s="69"/>
      <c r="T149" s="130"/>
      <c r="U149" s="69"/>
      <c r="V149" s="69"/>
      <c r="W149" s="69">
        <f>SUM(L149:S149)</f>
        <v>0</v>
      </c>
      <c r="X149" s="317"/>
    </row>
    <row r="150" spans="1:24" ht="17.25" customHeight="1" outlineLevel="2">
      <c r="A150" s="48"/>
      <c r="B150" s="58"/>
      <c r="C150" s="59"/>
      <c r="D150" s="59"/>
      <c r="E150" s="60"/>
      <c r="F150" s="60"/>
      <c r="G150" s="61" t="s">
        <v>37</v>
      </c>
      <c r="H150" s="69"/>
      <c r="I150" s="69"/>
      <c r="J150" s="149"/>
      <c r="K150" s="206"/>
      <c r="L150" s="209"/>
      <c r="M150" s="69"/>
      <c r="N150" s="69"/>
      <c r="O150" s="69"/>
      <c r="P150" s="69"/>
      <c r="Q150" s="69"/>
      <c r="R150" s="69"/>
      <c r="S150" s="69"/>
      <c r="T150" s="130"/>
      <c r="U150" s="69"/>
      <c r="V150" s="69"/>
      <c r="W150" s="69"/>
      <c r="X150" s="317"/>
    </row>
    <row r="151" spans="1:24" ht="15.75" customHeight="1" outlineLevel="1">
      <c r="A151" s="48"/>
      <c r="B151" s="49" t="s">
        <v>68</v>
      </c>
      <c r="C151" s="332" t="s">
        <v>69</v>
      </c>
      <c r="D151" s="330"/>
      <c r="E151" s="50">
        <v>45658</v>
      </c>
      <c r="F151" s="50">
        <v>45809</v>
      </c>
      <c r="G151" s="135"/>
      <c r="H151" s="136"/>
      <c r="I151" s="137"/>
      <c r="J151" s="138"/>
      <c r="K151" s="138"/>
      <c r="L151" s="232"/>
      <c r="M151" s="140"/>
      <c r="N151" s="141"/>
      <c r="O151" s="141"/>
      <c r="P151" s="141"/>
      <c r="Q151" s="141"/>
      <c r="R151" s="141"/>
      <c r="S151" s="141"/>
      <c r="T151" s="142">
        <f t="shared" ref="T151:W151" si="63">SUM(T152:T157)</f>
        <v>5197</v>
      </c>
      <c r="U151" s="142">
        <f t="shared" si="63"/>
        <v>3474</v>
      </c>
      <c r="V151" s="142">
        <f t="shared" si="63"/>
        <v>0</v>
      </c>
      <c r="W151" s="142">
        <f t="shared" si="63"/>
        <v>0</v>
      </c>
      <c r="X151" s="318"/>
    </row>
    <row r="152" spans="1:24" ht="17.25" customHeight="1" outlineLevel="2">
      <c r="A152" s="48"/>
      <c r="B152" s="58"/>
      <c r="C152" s="59"/>
      <c r="D152" s="59"/>
      <c r="E152" s="60"/>
      <c r="F152" s="60"/>
      <c r="G152" s="61" t="s">
        <v>32</v>
      </c>
      <c r="H152" s="69"/>
      <c r="I152" s="69"/>
      <c r="J152" s="149"/>
      <c r="K152" s="206"/>
      <c r="L152" s="209"/>
      <c r="M152" s="69"/>
      <c r="N152" s="69"/>
      <c r="O152" s="69"/>
      <c r="P152" s="69"/>
      <c r="Q152" s="69"/>
      <c r="R152" s="69"/>
      <c r="S152" s="69"/>
      <c r="T152" s="130">
        <f t="shared" ref="T152:T155" si="64">SUM(H152:L152)</f>
        <v>0</v>
      </c>
      <c r="U152" s="69"/>
      <c r="V152" s="69"/>
      <c r="W152" s="69"/>
      <c r="X152" s="317"/>
    </row>
    <row r="153" spans="1:24" ht="17.25" customHeight="1" outlineLevel="2">
      <c r="A153" s="48"/>
      <c r="B153" s="58"/>
      <c r="C153" s="59"/>
      <c r="D153" s="59"/>
      <c r="E153" s="60"/>
      <c r="F153" s="60"/>
      <c r="G153" s="61" t="s">
        <v>33</v>
      </c>
      <c r="H153" s="69"/>
      <c r="I153" s="69"/>
      <c r="J153" s="149"/>
      <c r="K153" s="206"/>
      <c r="L153" s="209"/>
      <c r="M153" s="69"/>
      <c r="N153" s="69"/>
      <c r="O153" s="69"/>
      <c r="P153" s="69"/>
      <c r="Q153" s="69"/>
      <c r="R153" s="69"/>
      <c r="S153" s="69"/>
      <c r="T153" s="130">
        <f t="shared" si="64"/>
        <v>0</v>
      </c>
      <c r="U153" s="69"/>
      <c r="V153" s="69"/>
      <c r="W153" s="69"/>
      <c r="X153" s="317"/>
    </row>
    <row r="154" spans="1:24" ht="17.25" customHeight="1" outlineLevel="2">
      <c r="A154" s="48"/>
      <c r="B154" s="58"/>
      <c r="C154" s="59"/>
      <c r="D154" s="59"/>
      <c r="E154" s="60"/>
      <c r="F154" s="60"/>
      <c r="G154" s="61" t="s">
        <v>34</v>
      </c>
      <c r="H154" s="69">
        <v>511</v>
      </c>
      <c r="I154" s="69">
        <v>511</v>
      </c>
      <c r="J154" s="149">
        <v>511</v>
      </c>
      <c r="K154" s="206"/>
      <c r="L154" s="209"/>
      <c r="M154" s="69"/>
      <c r="N154" s="69"/>
      <c r="O154" s="69"/>
      <c r="P154" s="69"/>
      <c r="Q154" s="69"/>
      <c r="R154" s="69"/>
      <c r="S154" s="69"/>
      <c r="T154" s="130">
        <f t="shared" si="64"/>
        <v>1533</v>
      </c>
      <c r="U154" s="69"/>
      <c r="V154" s="69"/>
      <c r="W154" s="69"/>
      <c r="X154" s="317"/>
    </row>
    <row r="155" spans="1:24" ht="17.25" customHeight="1" outlineLevel="2">
      <c r="A155" s="48"/>
      <c r="B155" s="58"/>
      <c r="C155" s="59"/>
      <c r="D155" s="59"/>
      <c r="E155" s="60"/>
      <c r="F155" s="60"/>
      <c r="G155" s="61" t="s">
        <v>35</v>
      </c>
      <c r="H155" s="69">
        <v>1100</v>
      </c>
      <c r="I155" s="69">
        <v>1092</v>
      </c>
      <c r="J155" s="149">
        <v>896</v>
      </c>
      <c r="K155" s="206">
        <v>576</v>
      </c>
      <c r="L155" s="209"/>
      <c r="M155" s="69"/>
      <c r="N155" s="69"/>
      <c r="O155" s="69"/>
      <c r="P155" s="69"/>
      <c r="Q155" s="69"/>
      <c r="R155" s="69"/>
      <c r="S155" s="69"/>
      <c r="T155" s="130">
        <f t="shared" si="64"/>
        <v>3664</v>
      </c>
      <c r="U155" s="69"/>
      <c r="V155" s="69"/>
      <c r="W155" s="69"/>
      <c r="X155" s="317"/>
    </row>
    <row r="156" spans="1:24" ht="17.25" customHeight="1" outlineLevel="2">
      <c r="A156" s="48"/>
      <c r="B156" s="58"/>
      <c r="C156" s="59"/>
      <c r="D156" s="59"/>
      <c r="E156" s="60"/>
      <c r="F156" s="60"/>
      <c r="G156" s="61" t="s">
        <v>36</v>
      </c>
      <c r="H156" s="69">
        <v>699</v>
      </c>
      <c r="I156" s="69">
        <v>699</v>
      </c>
      <c r="J156" s="149">
        <v>677</v>
      </c>
      <c r="K156" s="206">
        <v>700</v>
      </c>
      <c r="L156" s="209">
        <v>699</v>
      </c>
      <c r="M156" s="69"/>
      <c r="N156" s="69"/>
      <c r="O156" s="69"/>
      <c r="P156" s="69"/>
      <c r="Q156" s="69"/>
      <c r="R156" s="69"/>
      <c r="S156" s="69"/>
      <c r="T156" s="130"/>
      <c r="U156" s="69">
        <f>SUM(H156:L156)</f>
        <v>3474</v>
      </c>
      <c r="V156" s="69"/>
      <c r="W156" s="69"/>
      <c r="X156" s="317"/>
    </row>
    <row r="157" spans="1:24" ht="17.25" customHeight="1" outlineLevel="2">
      <c r="A157" s="48"/>
      <c r="B157" s="58"/>
      <c r="C157" s="59"/>
      <c r="D157" s="59"/>
      <c r="E157" s="60"/>
      <c r="F157" s="60"/>
      <c r="G157" s="61" t="s">
        <v>37</v>
      </c>
      <c r="H157" s="69"/>
      <c r="I157" s="69"/>
      <c r="J157" s="149"/>
      <c r="K157" s="206"/>
      <c r="L157" s="209"/>
      <c r="M157" s="69"/>
      <c r="N157" s="69"/>
      <c r="O157" s="69"/>
      <c r="P157" s="69"/>
      <c r="Q157" s="69"/>
      <c r="R157" s="69"/>
      <c r="S157" s="69"/>
      <c r="T157" s="130"/>
      <c r="U157" s="69"/>
      <c r="V157" s="69"/>
      <c r="W157" s="69"/>
      <c r="X157" s="317"/>
    </row>
    <row r="158" spans="1:24" ht="21" customHeight="1">
      <c r="A158" s="19"/>
      <c r="B158" s="39">
        <v>7</v>
      </c>
      <c r="C158" s="70" t="s">
        <v>70</v>
      </c>
      <c r="D158" s="42"/>
      <c r="E158" s="71"/>
      <c r="F158" s="71"/>
      <c r="G158" s="72"/>
      <c r="H158" s="111"/>
      <c r="I158" s="112"/>
      <c r="J158" s="113"/>
      <c r="K158" s="230"/>
      <c r="L158" s="231"/>
      <c r="M158" s="111"/>
      <c r="N158" s="111"/>
      <c r="O158" s="111"/>
      <c r="P158" s="111"/>
      <c r="Q158" s="111"/>
      <c r="R158" s="111"/>
      <c r="S158" s="111"/>
      <c r="T158" s="115">
        <f t="shared" ref="T158:W158" si="65">T159+T162+T169+T176+T183</f>
        <v>6147</v>
      </c>
      <c r="U158" s="115">
        <f t="shared" si="65"/>
        <v>0</v>
      </c>
      <c r="V158" s="115">
        <f t="shared" si="65"/>
        <v>74685</v>
      </c>
      <c r="W158" s="115">
        <f t="shared" si="65"/>
        <v>0</v>
      </c>
      <c r="X158" s="111"/>
    </row>
    <row r="159" spans="1:24" ht="15.75" customHeight="1" outlineLevel="1">
      <c r="A159" s="48"/>
      <c r="B159" s="49">
        <v>7.1</v>
      </c>
      <c r="C159" s="329" t="s">
        <v>71</v>
      </c>
      <c r="D159" s="330"/>
      <c r="E159" s="50">
        <v>45627</v>
      </c>
      <c r="F159" s="50">
        <v>45746</v>
      </c>
      <c r="G159" s="135"/>
      <c r="H159" s="150"/>
      <c r="I159" s="150"/>
      <c r="J159" s="161"/>
      <c r="K159" s="249"/>
      <c r="L159" s="250"/>
      <c r="M159" s="163"/>
      <c r="N159" s="150"/>
      <c r="O159" s="150"/>
      <c r="P159" s="150"/>
      <c r="Q159" s="150"/>
      <c r="R159" s="150"/>
      <c r="S159" s="91"/>
      <c r="T159" s="91">
        <f t="shared" ref="T159:W159" si="66">SUM(T160:T161)</f>
        <v>6147</v>
      </c>
      <c r="U159" s="91">
        <f t="shared" si="66"/>
        <v>0</v>
      </c>
      <c r="V159" s="91">
        <f t="shared" si="66"/>
        <v>1983</v>
      </c>
      <c r="W159" s="91">
        <f t="shared" si="66"/>
        <v>0</v>
      </c>
      <c r="X159" s="316"/>
    </row>
    <row r="160" spans="1:24" ht="17.25" customHeight="1" outlineLevel="2">
      <c r="A160" s="48"/>
      <c r="B160" s="58"/>
      <c r="C160" s="59"/>
      <c r="D160" s="59"/>
      <c r="E160" s="60"/>
      <c r="F160" s="60"/>
      <c r="G160" s="61" t="s">
        <v>35</v>
      </c>
      <c r="H160" s="69">
        <v>827</v>
      </c>
      <c r="I160" s="69">
        <v>1097</v>
      </c>
      <c r="J160" s="149">
        <v>711</v>
      </c>
      <c r="K160" s="206"/>
      <c r="L160" s="209"/>
      <c r="M160" s="69">
        <v>72</v>
      </c>
      <c r="N160" s="69">
        <v>827</v>
      </c>
      <c r="O160" s="69"/>
      <c r="P160" s="69"/>
      <c r="Q160" s="69"/>
      <c r="R160" s="69"/>
      <c r="S160" s="67"/>
      <c r="T160" s="67">
        <f t="shared" ref="T160:T161" si="67">SUM(H160:M160)</f>
        <v>2707</v>
      </c>
      <c r="U160" s="67"/>
      <c r="V160" s="67">
        <f t="shared" ref="V160:V161" si="68">SUM(N160:S160)</f>
        <v>827</v>
      </c>
      <c r="W160" s="67"/>
      <c r="X160" s="317"/>
    </row>
    <row r="161" spans="1:24" ht="17.25" customHeight="1" outlineLevel="2">
      <c r="A161" s="48"/>
      <c r="B161" s="58"/>
      <c r="C161" s="59"/>
      <c r="D161" s="59"/>
      <c r="E161" s="60"/>
      <c r="F161" s="60"/>
      <c r="G161" s="61" t="s">
        <v>36</v>
      </c>
      <c r="H161" s="69">
        <v>1156</v>
      </c>
      <c r="I161" s="69">
        <v>1301</v>
      </c>
      <c r="J161" s="149">
        <v>519</v>
      </c>
      <c r="K161" s="326">
        <v>374</v>
      </c>
      <c r="L161" s="209"/>
      <c r="M161" s="69">
        <v>90</v>
      </c>
      <c r="N161" s="69">
        <v>1156</v>
      </c>
      <c r="O161" s="69"/>
      <c r="P161" s="69"/>
      <c r="Q161" s="69"/>
      <c r="R161" s="69"/>
      <c r="S161" s="67"/>
      <c r="T161" s="67">
        <f t="shared" si="67"/>
        <v>3440</v>
      </c>
      <c r="U161" s="67"/>
      <c r="V161" s="67">
        <f t="shared" si="68"/>
        <v>1156</v>
      </c>
      <c r="W161" s="67"/>
      <c r="X161" s="317"/>
    </row>
    <row r="162" spans="1:24" ht="15.75" customHeight="1" outlineLevel="1">
      <c r="A162" s="48"/>
      <c r="B162" s="49">
        <v>7.2</v>
      </c>
      <c r="C162" s="366" t="s">
        <v>149</v>
      </c>
      <c r="D162" s="330"/>
      <c r="E162" s="159">
        <v>45823</v>
      </c>
      <c r="F162" s="50">
        <v>45960</v>
      </c>
      <c r="G162" s="51"/>
      <c r="H162" s="57"/>
      <c r="I162" s="57"/>
      <c r="J162" s="169"/>
      <c r="K162" s="179"/>
      <c r="L162" s="223"/>
      <c r="M162" s="57"/>
      <c r="N162" s="57"/>
      <c r="O162" s="57"/>
      <c r="P162" s="57"/>
      <c r="Q162" s="57"/>
      <c r="R162" s="57"/>
      <c r="S162" s="91"/>
      <c r="T162" s="91">
        <f t="shared" ref="T162:W162" si="69">SUM(T163:T168)</f>
        <v>0</v>
      </c>
      <c r="U162" s="91">
        <f t="shared" si="69"/>
        <v>0</v>
      </c>
      <c r="V162" s="91">
        <f t="shared" si="69"/>
        <v>4500</v>
      </c>
      <c r="W162" s="91">
        <f t="shared" si="69"/>
        <v>0</v>
      </c>
      <c r="X162" s="316"/>
    </row>
    <row r="163" spans="1:24" ht="17.25" customHeight="1" outlineLevel="2">
      <c r="A163" s="48"/>
      <c r="B163" s="58"/>
      <c r="C163" s="59"/>
      <c r="D163" s="59"/>
      <c r="E163" s="60"/>
      <c r="F163" s="60"/>
      <c r="G163" s="61" t="s">
        <v>32</v>
      </c>
      <c r="H163" s="62"/>
      <c r="I163" s="63"/>
      <c r="J163" s="64"/>
      <c r="K163" s="206"/>
      <c r="L163" s="209"/>
      <c r="M163" s="69"/>
      <c r="N163" s="67"/>
      <c r="O163" s="67"/>
      <c r="P163" s="67"/>
      <c r="Q163" s="67"/>
      <c r="R163" s="68"/>
      <c r="S163" s="68"/>
      <c r="T163" s="67">
        <f t="shared" ref="T163:T168" si="70">SUM(H163:L163)</f>
        <v>0</v>
      </c>
      <c r="U163" s="67"/>
      <c r="V163" s="67">
        <f t="shared" ref="V163:V168" si="71">SUM(M163:S163)</f>
        <v>0</v>
      </c>
      <c r="W163" s="67"/>
      <c r="X163" s="317"/>
    </row>
    <row r="164" spans="1:24" ht="17.25" customHeight="1" outlineLevel="2">
      <c r="A164" s="48"/>
      <c r="B164" s="58"/>
      <c r="C164" s="59"/>
      <c r="D164" s="59"/>
      <c r="E164" s="60"/>
      <c r="F164" s="60"/>
      <c r="G164" s="61" t="s">
        <v>33</v>
      </c>
      <c r="H164" s="62"/>
      <c r="I164" s="63"/>
      <c r="J164" s="64"/>
      <c r="K164" s="206"/>
      <c r="L164" s="209"/>
      <c r="M164" s="69"/>
      <c r="N164" s="67"/>
      <c r="O164" s="67"/>
      <c r="P164" s="67"/>
      <c r="Q164" s="67"/>
      <c r="R164" s="68"/>
      <c r="S164" s="68"/>
      <c r="T164" s="67">
        <f t="shared" si="70"/>
        <v>0</v>
      </c>
      <c r="U164" s="67"/>
      <c r="V164" s="67">
        <f t="shared" si="71"/>
        <v>0</v>
      </c>
      <c r="W164" s="67"/>
      <c r="X164" s="317"/>
    </row>
    <row r="165" spans="1:24" ht="17.25" customHeight="1" outlineLevel="2">
      <c r="A165" s="48"/>
      <c r="B165" s="58"/>
      <c r="C165" s="59"/>
      <c r="D165" s="59"/>
      <c r="E165" s="60"/>
      <c r="F165" s="60"/>
      <c r="G165" s="61" t="s">
        <v>34</v>
      </c>
      <c r="H165" s="62"/>
      <c r="I165" s="63"/>
      <c r="J165" s="64"/>
      <c r="K165" s="206"/>
      <c r="L165" s="210"/>
      <c r="M165" s="92"/>
      <c r="N165" s="67">
        <v>1500</v>
      </c>
      <c r="O165" s="67">
        <v>1500</v>
      </c>
      <c r="P165" s="67">
        <v>1500</v>
      </c>
      <c r="Q165" s="67"/>
      <c r="R165" s="68"/>
      <c r="S165" s="68"/>
      <c r="T165" s="67">
        <f t="shared" si="70"/>
        <v>0</v>
      </c>
      <c r="U165" s="67"/>
      <c r="V165" s="67">
        <f t="shared" si="71"/>
        <v>4500</v>
      </c>
      <c r="W165" s="67"/>
      <c r="X165" s="317"/>
    </row>
    <row r="166" spans="1:24" ht="17.25" customHeight="1" outlineLevel="2">
      <c r="A166" s="48"/>
      <c r="B166" s="58"/>
      <c r="C166" s="59"/>
      <c r="D166" s="59"/>
      <c r="E166" s="60"/>
      <c r="F166" s="60"/>
      <c r="G166" s="61" t="s">
        <v>35</v>
      </c>
      <c r="H166" s="62"/>
      <c r="I166" s="63"/>
      <c r="J166" s="64"/>
      <c r="K166" s="206"/>
      <c r="L166" s="210"/>
      <c r="M166" s="92"/>
      <c r="N166" s="67"/>
      <c r="O166" s="67"/>
      <c r="P166" s="67"/>
      <c r="Q166" s="67"/>
      <c r="R166" s="68"/>
      <c r="S166" s="68"/>
      <c r="T166" s="67">
        <f t="shared" si="70"/>
        <v>0</v>
      </c>
      <c r="U166" s="67"/>
      <c r="V166" s="67">
        <f t="shared" si="71"/>
        <v>0</v>
      </c>
      <c r="W166" s="67"/>
      <c r="X166" s="317"/>
    </row>
    <row r="167" spans="1:24" ht="17.25" customHeight="1" outlineLevel="2">
      <c r="A167" s="48"/>
      <c r="B167" s="58"/>
      <c r="C167" s="59"/>
      <c r="D167" s="59"/>
      <c r="E167" s="60"/>
      <c r="F167" s="60"/>
      <c r="G167" s="61" t="s">
        <v>36</v>
      </c>
      <c r="H167" s="62"/>
      <c r="I167" s="63"/>
      <c r="J167" s="64"/>
      <c r="K167" s="206"/>
      <c r="L167" s="209"/>
      <c r="M167" s="69"/>
      <c r="N167" s="67"/>
      <c r="O167" s="67"/>
      <c r="P167" s="67"/>
      <c r="Q167" s="67"/>
      <c r="R167" s="68"/>
      <c r="S167" s="68"/>
      <c r="T167" s="67">
        <f t="shared" si="70"/>
        <v>0</v>
      </c>
      <c r="U167" s="67"/>
      <c r="V167" s="67">
        <f t="shared" si="71"/>
        <v>0</v>
      </c>
      <c r="W167" s="67">
        <f>SUM(L167:S167)</f>
        <v>0</v>
      </c>
      <c r="X167" s="317"/>
    </row>
    <row r="168" spans="1:24" ht="17.25" customHeight="1" outlineLevel="2">
      <c r="A168" s="48"/>
      <c r="B168" s="58"/>
      <c r="C168" s="59"/>
      <c r="D168" s="59"/>
      <c r="E168" s="60"/>
      <c r="F168" s="60"/>
      <c r="G168" s="61" t="s">
        <v>37</v>
      </c>
      <c r="H168" s="62"/>
      <c r="I168" s="63"/>
      <c r="J168" s="64"/>
      <c r="K168" s="212"/>
      <c r="L168" s="209"/>
      <c r="M168" s="69"/>
      <c r="N168" s="67"/>
      <c r="O168" s="67"/>
      <c r="P168" s="67"/>
      <c r="Q168" s="67"/>
      <c r="R168" s="68"/>
      <c r="S168" s="68"/>
      <c r="T168" s="67">
        <f t="shared" si="70"/>
        <v>0</v>
      </c>
      <c r="U168" s="67"/>
      <c r="V168" s="67">
        <f t="shared" si="71"/>
        <v>0</v>
      </c>
      <c r="W168" s="67"/>
      <c r="X168" s="317"/>
    </row>
    <row r="169" spans="1:24" ht="15.75" customHeight="1" outlineLevel="1">
      <c r="A169" s="48"/>
      <c r="B169" s="49">
        <v>7.4</v>
      </c>
      <c r="C169" s="329" t="s">
        <v>75</v>
      </c>
      <c r="D169" s="330"/>
      <c r="E169" s="49" t="s">
        <v>150</v>
      </c>
      <c r="F169" s="50">
        <v>45960</v>
      </c>
      <c r="G169" s="172"/>
      <c r="H169" s="57"/>
      <c r="I169" s="57"/>
      <c r="J169" s="169"/>
      <c r="K169" s="179"/>
      <c r="L169" s="223"/>
      <c r="M169" s="57"/>
      <c r="N169" s="57"/>
      <c r="O169" s="91"/>
      <c r="P169" s="91"/>
      <c r="Q169" s="57"/>
      <c r="R169" s="57"/>
      <c r="S169" s="57"/>
      <c r="T169" s="57">
        <f t="shared" ref="T169:W169" si="72">SUM(T170:T175)</f>
        <v>0</v>
      </c>
      <c r="U169" s="57">
        <f t="shared" si="72"/>
        <v>0</v>
      </c>
      <c r="V169" s="57">
        <f t="shared" si="72"/>
        <v>25867</v>
      </c>
      <c r="W169" s="57">
        <f t="shared" si="72"/>
        <v>0</v>
      </c>
      <c r="X169" s="316"/>
    </row>
    <row r="170" spans="1:24" ht="17.25" customHeight="1" outlineLevel="2">
      <c r="A170" s="48"/>
      <c r="B170" s="58"/>
      <c r="C170" s="59"/>
      <c r="D170" s="59"/>
      <c r="E170" s="60"/>
      <c r="F170" s="60"/>
      <c r="G170" s="61" t="s">
        <v>32</v>
      </c>
      <c r="H170" s="62"/>
      <c r="I170" s="63"/>
      <c r="J170" s="64"/>
      <c r="K170" s="206"/>
      <c r="L170" s="209"/>
      <c r="M170" s="69"/>
      <c r="N170" s="67"/>
      <c r="O170" s="67"/>
      <c r="P170" s="108">
        <v>3476</v>
      </c>
      <c r="Q170" s="108">
        <v>3391</v>
      </c>
      <c r="R170" s="68"/>
      <c r="S170" s="68"/>
      <c r="T170" s="67">
        <f t="shared" ref="T170:T175" si="73">SUM(H170:K170)</f>
        <v>0</v>
      </c>
      <c r="U170" s="67">
        <f t="shared" ref="U170:U175" si="74">SUM(H170:K170)</f>
        <v>0</v>
      </c>
      <c r="V170" s="67">
        <f t="shared" ref="V170:V175" si="75">SUM(L170:S170)</f>
        <v>6867</v>
      </c>
      <c r="W170" s="67"/>
      <c r="X170" s="317"/>
    </row>
    <row r="171" spans="1:24" ht="17.25" customHeight="1" outlineLevel="2">
      <c r="A171" s="48"/>
      <c r="B171" s="58"/>
      <c r="C171" s="59"/>
      <c r="D171" s="59"/>
      <c r="E171" s="60"/>
      <c r="F171" s="60"/>
      <c r="G171" s="61" t="s">
        <v>33</v>
      </c>
      <c r="H171" s="62"/>
      <c r="I171" s="63"/>
      <c r="J171" s="64"/>
      <c r="K171" s="206"/>
      <c r="L171" s="209"/>
      <c r="M171" s="69"/>
      <c r="N171" s="67"/>
      <c r="O171" s="67"/>
      <c r="P171" s="67">
        <v>2000</v>
      </c>
      <c r="Q171" s="67">
        <v>2000</v>
      </c>
      <c r="R171" s="68"/>
      <c r="S171" s="68"/>
      <c r="T171" s="67">
        <f t="shared" si="73"/>
        <v>0</v>
      </c>
      <c r="U171" s="67">
        <f t="shared" si="74"/>
        <v>0</v>
      </c>
      <c r="V171" s="67">
        <f t="shared" si="75"/>
        <v>4000</v>
      </c>
      <c r="W171" s="67"/>
      <c r="X171" s="317"/>
    </row>
    <row r="172" spans="1:24" ht="17.25" customHeight="1" outlineLevel="2">
      <c r="A172" s="48"/>
      <c r="B172" s="58"/>
      <c r="C172" s="59"/>
      <c r="D172" s="59"/>
      <c r="E172" s="60"/>
      <c r="F172" s="60"/>
      <c r="G172" s="61" t="s">
        <v>34</v>
      </c>
      <c r="H172" s="62"/>
      <c r="I172" s="63"/>
      <c r="J172" s="64"/>
      <c r="K172" s="206"/>
      <c r="L172" s="210"/>
      <c r="M172" s="92"/>
      <c r="N172" s="67"/>
      <c r="O172" s="67"/>
      <c r="P172" s="67">
        <v>3500</v>
      </c>
      <c r="Q172" s="67">
        <v>3500</v>
      </c>
      <c r="R172" s="68"/>
      <c r="S172" s="68"/>
      <c r="T172" s="67">
        <f t="shared" si="73"/>
        <v>0</v>
      </c>
      <c r="U172" s="67">
        <f t="shared" si="74"/>
        <v>0</v>
      </c>
      <c r="V172" s="67">
        <f t="shared" si="75"/>
        <v>7000</v>
      </c>
      <c r="W172" s="67"/>
      <c r="X172" s="317"/>
    </row>
    <row r="173" spans="1:24" ht="17.25" customHeight="1" outlineLevel="2">
      <c r="A173" s="48"/>
      <c r="B173" s="58"/>
      <c r="C173" s="59"/>
      <c r="D173" s="59"/>
      <c r="E173" s="60"/>
      <c r="F173" s="60"/>
      <c r="G173" s="61" t="s">
        <v>35</v>
      </c>
      <c r="H173" s="62"/>
      <c r="I173" s="63"/>
      <c r="J173" s="64"/>
      <c r="K173" s="206"/>
      <c r="L173" s="210"/>
      <c r="M173" s="92"/>
      <c r="N173" s="67"/>
      <c r="O173" s="67"/>
      <c r="P173" s="67"/>
      <c r="Q173" s="67"/>
      <c r="R173" s="68"/>
      <c r="S173" s="68"/>
      <c r="T173" s="67">
        <f t="shared" si="73"/>
        <v>0</v>
      </c>
      <c r="U173" s="67">
        <f t="shared" si="74"/>
        <v>0</v>
      </c>
      <c r="V173" s="67">
        <f t="shared" si="75"/>
        <v>0</v>
      </c>
      <c r="W173" s="67"/>
      <c r="X173" s="317"/>
    </row>
    <row r="174" spans="1:24" ht="17.25" customHeight="1" outlineLevel="2">
      <c r="A174" s="48"/>
      <c r="B174" s="58"/>
      <c r="C174" s="59"/>
      <c r="D174" s="59"/>
      <c r="E174" s="60"/>
      <c r="F174" s="60"/>
      <c r="G174" s="61" t="s">
        <v>36</v>
      </c>
      <c r="H174" s="62"/>
      <c r="I174" s="63"/>
      <c r="J174" s="64"/>
      <c r="K174" s="206"/>
      <c r="L174" s="209"/>
      <c r="M174" s="69"/>
      <c r="N174" s="67"/>
      <c r="O174" s="67"/>
      <c r="P174" s="67"/>
      <c r="Q174" s="67"/>
      <c r="R174" s="68"/>
      <c r="S174" s="68"/>
      <c r="T174" s="67">
        <f t="shared" si="73"/>
        <v>0</v>
      </c>
      <c r="U174" s="67">
        <f t="shared" si="74"/>
        <v>0</v>
      </c>
      <c r="V174" s="67">
        <f t="shared" si="75"/>
        <v>0</v>
      </c>
      <c r="W174" s="67">
        <f>SUM(L174:S174)</f>
        <v>0</v>
      </c>
      <c r="X174" s="317"/>
    </row>
    <row r="175" spans="1:24" ht="17.25" customHeight="1" outlineLevel="2">
      <c r="A175" s="48"/>
      <c r="B175" s="58"/>
      <c r="C175" s="59"/>
      <c r="D175" s="59"/>
      <c r="E175" s="60"/>
      <c r="F175" s="60"/>
      <c r="G175" s="61" t="s">
        <v>151</v>
      </c>
      <c r="H175" s="62"/>
      <c r="I175" s="63"/>
      <c r="J175" s="64"/>
      <c r="K175" s="212"/>
      <c r="L175" s="209"/>
      <c r="M175" s="69"/>
      <c r="N175" s="67"/>
      <c r="O175" s="67"/>
      <c r="P175" s="67">
        <v>4000</v>
      </c>
      <c r="Q175" s="67">
        <v>4000</v>
      </c>
      <c r="R175" s="68"/>
      <c r="S175" s="68"/>
      <c r="T175" s="67">
        <f t="shared" si="73"/>
        <v>0</v>
      </c>
      <c r="U175" s="67">
        <f t="shared" si="74"/>
        <v>0</v>
      </c>
      <c r="V175" s="67">
        <f t="shared" si="75"/>
        <v>8000</v>
      </c>
      <c r="W175" s="67"/>
      <c r="X175" s="317"/>
    </row>
    <row r="176" spans="1:24" ht="15.75" customHeight="1" outlineLevel="1">
      <c r="A176" s="48"/>
      <c r="B176" s="49">
        <v>7.5</v>
      </c>
      <c r="C176" s="329" t="s">
        <v>76</v>
      </c>
      <c r="D176" s="330"/>
      <c r="E176" s="166">
        <v>45869</v>
      </c>
      <c r="F176" s="49" t="s">
        <v>77</v>
      </c>
      <c r="G176" s="251"/>
      <c r="H176" s="57"/>
      <c r="I176" s="57"/>
      <c r="J176" s="169"/>
      <c r="K176" s="179"/>
      <c r="L176" s="223"/>
      <c r="M176" s="57"/>
      <c r="N176" s="91"/>
      <c r="O176" s="57"/>
      <c r="P176" s="57"/>
      <c r="Q176" s="57"/>
      <c r="R176" s="57"/>
      <c r="S176" s="57"/>
      <c r="T176" s="57"/>
      <c r="U176" s="57"/>
      <c r="V176" s="57">
        <f>SUM(V177:V182)</f>
        <v>19508</v>
      </c>
      <c r="W176" s="57"/>
      <c r="X176" s="316"/>
    </row>
    <row r="177" spans="1:24" ht="17.25" customHeight="1" outlineLevel="2">
      <c r="A177" s="48"/>
      <c r="B177" s="58"/>
      <c r="C177" s="59"/>
      <c r="D177" s="59"/>
      <c r="E177" s="60"/>
      <c r="F177" s="60"/>
      <c r="G177" s="61" t="s">
        <v>32</v>
      </c>
      <c r="H177" s="62"/>
      <c r="I177" s="63"/>
      <c r="J177" s="64"/>
      <c r="K177" s="206"/>
      <c r="L177" s="209"/>
      <c r="M177" s="69"/>
      <c r="N177" s="252"/>
      <c r="O177" s="110">
        <v>3579</v>
      </c>
      <c r="P177" s="108">
        <v>3429</v>
      </c>
      <c r="Q177" s="67"/>
      <c r="R177" s="68"/>
      <c r="S177" s="68"/>
      <c r="T177" s="67">
        <f t="shared" ref="T177:T182" si="76">SUM(H177:K177)</f>
        <v>0</v>
      </c>
      <c r="U177" s="67">
        <f t="shared" ref="U177:U182" si="77">SUM(H177:K177)</f>
        <v>0</v>
      </c>
      <c r="V177" s="67">
        <f t="shared" ref="V177:V182" si="78">SUM(N177:S177)</f>
        <v>7008</v>
      </c>
      <c r="W177" s="67"/>
      <c r="X177" s="317"/>
    </row>
    <row r="178" spans="1:24" ht="17.25" customHeight="1" outlineLevel="2">
      <c r="A178" s="48"/>
      <c r="B178" s="58"/>
      <c r="C178" s="59"/>
      <c r="D178" s="59"/>
      <c r="E178" s="60"/>
      <c r="F178" s="60"/>
      <c r="G178" s="61" t="s">
        <v>33</v>
      </c>
      <c r="H178" s="62"/>
      <c r="I178" s="63"/>
      <c r="J178" s="64"/>
      <c r="K178" s="206"/>
      <c r="L178" s="209"/>
      <c r="M178" s="69"/>
      <c r="N178" s="252"/>
      <c r="O178" s="236"/>
      <c r="P178" s="253"/>
      <c r="Q178" s="67"/>
      <c r="R178" s="68"/>
      <c r="S178" s="68"/>
      <c r="T178" s="67">
        <f t="shared" si="76"/>
        <v>0</v>
      </c>
      <c r="U178" s="67">
        <f t="shared" si="77"/>
        <v>0</v>
      </c>
      <c r="V178" s="67">
        <f t="shared" si="78"/>
        <v>0</v>
      </c>
      <c r="W178" s="67"/>
      <c r="X178" s="317"/>
    </row>
    <row r="179" spans="1:24" ht="17.25" customHeight="1" outlineLevel="2">
      <c r="A179" s="48"/>
      <c r="B179" s="58"/>
      <c r="C179" s="59"/>
      <c r="D179" s="59"/>
      <c r="E179" s="60"/>
      <c r="F179" s="60"/>
      <c r="G179" s="61" t="s">
        <v>34</v>
      </c>
      <c r="H179" s="62"/>
      <c r="I179" s="63"/>
      <c r="J179" s="64"/>
      <c r="K179" s="206"/>
      <c r="L179" s="210"/>
      <c r="M179" s="92"/>
      <c r="N179" s="252"/>
      <c r="O179" s="239">
        <v>2500</v>
      </c>
      <c r="P179" s="253">
        <v>1000</v>
      </c>
      <c r="Q179" s="67"/>
      <c r="R179" s="68"/>
      <c r="S179" s="68"/>
      <c r="T179" s="67">
        <f t="shared" si="76"/>
        <v>0</v>
      </c>
      <c r="U179" s="67">
        <f t="shared" si="77"/>
        <v>0</v>
      </c>
      <c r="V179" s="67">
        <f t="shared" si="78"/>
        <v>3500</v>
      </c>
      <c r="W179" s="67"/>
      <c r="X179" s="317"/>
    </row>
    <row r="180" spans="1:24" ht="17.25" customHeight="1" outlineLevel="2">
      <c r="A180" s="48"/>
      <c r="B180" s="58"/>
      <c r="C180" s="59"/>
      <c r="D180" s="59"/>
      <c r="E180" s="60"/>
      <c r="F180" s="60"/>
      <c r="G180" s="61" t="s">
        <v>35</v>
      </c>
      <c r="H180" s="62"/>
      <c r="I180" s="63"/>
      <c r="J180" s="64"/>
      <c r="K180" s="206"/>
      <c r="L180" s="210"/>
      <c r="M180" s="92"/>
      <c r="N180" s="254"/>
      <c r="O180" s="239">
        <v>3000</v>
      </c>
      <c r="P180" s="239">
        <v>1000</v>
      </c>
      <c r="Q180" s="67"/>
      <c r="R180" s="68"/>
      <c r="S180" s="68"/>
      <c r="T180" s="67">
        <f t="shared" si="76"/>
        <v>0</v>
      </c>
      <c r="U180" s="67">
        <f t="shared" si="77"/>
        <v>0</v>
      </c>
      <c r="V180" s="67">
        <f t="shared" si="78"/>
        <v>4000</v>
      </c>
      <c r="W180" s="67"/>
      <c r="X180" s="317"/>
    </row>
    <row r="181" spans="1:24" ht="17.25" customHeight="1" outlineLevel="2">
      <c r="A181" s="48"/>
      <c r="B181" s="58"/>
      <c r="C181" s="59"/>
      <c r="D181" s="59"/>
      <c r="E181" s="60"/>
      <c r="F181" s="60"/>
      <c r="G181" s="61" t="s">
        <v>36</v>
      </c>
      <c r="H181" s="62"/>
      <c r="I181" s="63"/>
      <c r="J181" s="64"/>
      <c r="K181" s="206"/>
      <c r="L181" s="209"/>
      <c r="M181" s="69"/>
      <c r="N181" s="255"/>
      <c r="O181" s="256"/>
      <c r="P181" s="257"/>
      <c r="Q181" s="67"/>
      <c r="R181" s="68"/>
      <c r="S181" s="68"/>
      <c r="T181" s="67">
        <f t="shared" si="76"/>
        <v>0</v>
      </c>
      <c r="U181" s="67">
        <f t="shared" si="77"/>
        <v>0</v>
      </c>
      <c r="V181" s="67">
        <f t="shared" si="78"/>
        <v>0</v>
      </c>
      <c r="W181" s="67">
        <f>SUM(L181:S181)</f>
        <v>0</v>
      </c>
      <c r="X181" s="317"/>
    </row>
    <row r="182" spans="1:24" ht="17.25" customHeight="1" outlineLevel="2">
      <c r="A182" s="48"/>
      <c r="B182" s="58"/>
      <c r="C182" s="59"/>
      <c r="D182" s="59"/>
      <c r="E182" s="60"/>
      <c r="F182" s="60"/>
      <c r="G182" s="61" t="s">
        <v>151</v>
      </c>
      <c r="H182" s="62"/>
      <c r="I182" s="63"/>
      <c r="J182" s="64"/>
      <c r="K182" s="212"/>
      <c r="L182" s="209"/>
      <c r="M182" s="69"/>
      <c r="N182" s="252"/>
      <c r="O182" s="236">
        <v>3500</v>
      </c>
      <c r="P182" s="253">
        <v>1500</v>
      </c>
      <c r="Q182" s="67"/>
      <c r="R182" s="68"/>
      <c r="S182" s="68"/>
      <c r="T182" s="67">
        <f t="shared" si="76"/>
        <v>0</v>
      </c>
      <c r="U182" s="67">
        <f t="shared" si="77"/>
        <v>0</v>
      </c>
      <c r="V182" s="67">
        <f t="shared" si="78"/>
        <v>5000</v>
      </c>
      <c r="W182" s="67"/>
      <c r="X182" s="317"/>
    </row>
    <row r="183" spans="1:24" ht="15.75" customHeight="1" outlineLevel="1">
      <c r="A183" s="48"/>
      <c r="B183" s="49">
        <v>7.9</v>
      </c>
      <c r="C183" s="329" t="s">
        <v>82</v>
      </c>
      <c r="D183" s="330"/>
      <c r="E183" s="49" t="s">
        <v>150</v>
      </c>
      <c r="F183" s="116">
        <v>45960</v>
      </c>
      <c r="G183" s="51"/>
      <c r="H183" s="57"/>
      <c r="I183" s="57"/>
      <c r="J183" s="169"/>
      <c r="K183" s="179"/>
      <c r="L183" s="223"/>
      <c r="M183" s="57"/>
      <c r="N183" s="57"/>
      <c r="O183" s="91"/>
      <c r="P183" s="91"/>
      <c r="Q183" s="57"/>
      <c r="R183" s="57"/>
      <c r="S183" s="57"/>
      <c r="T183" s="57">
        <f t="shared" ref="T183:W183" si="79">SUM(T184:T189)</f>
        <v>0</v>
      </c>
      <c r="U183" s="57">
        <f t="shared" si="79"/>
        <v>0</v>
      </c>
      <c r="V183" s="57">
        <f t="shared" si="79"/>
        <v>22827</v>
      </c>
      <c r="W183" s="57">
        <f t="shared" si="79"/>
        <v>0</v>
      </c>
      <c r="X183" s="316"/>
    </row>
    <row r="184" spans="1:24" ht="17.25" customHeight="1" outlineLevel="2">
      <c r="A184" s="48"/>
      <c r="B184" s="58"/>
      <c r="C184" s="59"/>
      <c r="D184" s="59"/>
      <c r="E184" s="60"/>
      <c r="F184" s="60"/>
      <c r="G184" s="61" t="s">
        <v>32</v>
      </c>
      <c r="H184" s="62"/>
      <c r="I184" s="63"/>
      <c r="J184" s="64"/>
      <c r="K184" s="206"/>
      <c r="L184" s="209"/>
      <c r="M184" s="69"/>
      <c r="N184" s="67"/>
      <c r="O184" s="67"/>
      <c r="P184" s="110">
        <v>7311</v>
      </c>
      <c r="Q184" s="110">
        <v>7516</v>
      </c>
      <c r="R184" s="68"/>
      <c r="S184" s="68"/>
      <c r="T184" s="67"/>
      <c r="U184" s="67"/>
      <c r="V184" s="67">
        <f t="shared" ref="V184:V189" si="80">SUM(L184:S184)</f>
        <v>14827</v>
      </c>
      <c r="W184" s="67"/>
      <c r="X184" s="317"/>
    </row>
    <row r="185" spans="1:24" ht="17.25" customHeight="1" outlineLevel="2">
      <c r="A185" s="48"/>
      <c r="B185" s="58"/>
      <c r="C185" s="59"/>
      <c r="D185" s="59"/>
      <c r="E185" s="60"/>
      <c r="F185" s="60"/>
      <c r="G185" s="61" t="s">
        <v>33</v>
      </c>
      <c r="H185" s="62"/>
      <c r="I185" s="63"/>
      <c r="J185" s="64"/>
      <c r="K185" s="206"/>
      <c r="L185" s="209"/>
      <c r="M185" s="69"/>
      <c r="N185" s="67"/>
      <c r="O185" s="67"/>
      <c r="P185" s="322">
        <v>1000</v>
      </c>
      <c r="Q185" s="322">
        <v>1000</v>
      </c>
      <c r="R185" s="68"/>
      <c r="S185" s="68"/>
      <c r="T185" s="67"/>
      <c r="U185" s="67"/>
      <c r="V185" s="67">
        <f t="shared" si="80"/>
        <v>2000</v>
      </c>
      <c r="W185" s="67"/>
      <c r="X185" s="317"/>
    </row>
    <row r="186" spans="1:24" ht="17.25" customHeight="1" outlineLevel="2">
      <c r="A186" s="48"/>
      <c r="B186" s="58"/>
      <c r="C186" s="59"/>
      <c r="D186" s="59"/>
      <c r="E186" s="60"/>
      <c r="F186" s="60"/>
      <c r="G186" s="61" t="s">
        <v>34</v>
      </c>
      <c r="H186" s="62"/>
      <c r="I186" s="63"/>
      <c r="J186" s="64"/>
      <c r="K186" s="206"/>
      <c r="L186" s="210"/>
      <c r="M186" s="92"/>
      <c r="N186" s="67"/>
      <c r="O186" s="67"/>
      <c r="P186" s="322"/>
      <c r="Q186" s="322"/>
      <c r="R186" s="68"/>
      <c r="S186" s="68"/>
      <c r="T186" s="67"/>
      <c r="U186" s="67"/>
      <c r="V186" s="67">
        <f t="shared" si="80"/>
        <v>0</v>
      </c>
      <c r="W186" s="67"/>
      <c r="X186" s="317"/>
    </row>
    <row r="187" spans="1:24" ht="17.25" customHeight="1" outlineLevel="2">
      <c r="A187" s="48"/>
      <c r="B187" s="58"/>
      <c r="C187" s="59"/>
      <c r="D187" s="59"/>
      <c r="E187" s="60"/>
      <c r="F187" s="60"/>
      <c r="G187" s="61" t="s">
        <v>35</v>
      </c>
      <c r="H187" s="62"/>
      <c r="I187" s="63"/>
      <c r="J187" s="64"/>
      <c r="K187" s="206"/>
      <c r="L187" s="210"/>
      <c r="M187" s="92"/>
      <c r="N187" s="67"/>
      <c r="O187" s="67"/>
      <c r="P187" s="67"/>
      <c r="Q187" s="67"/>
      <c r="R187" s="68"/>
      <c r="S187" s="68"/>
      <c r="T187" s="67"/>
      <c r="U187" s="67"/>
      <c r="V187" s="67">
        <f t="shared" si="80"/>
        <v>0</v>
      </c>
      <c r="W187" s="67"/>
      <c r="X187" s="317"/>
    </row>
    <row r="188" spans="1:24" ht="17.25" customHeight="1" outlineLevel="2">
      <c r="A188" s="48"/>
      <c r="B188" s="58"/>
      <c r="C188" s="59"/>
      <c r="D188" s="59"/>
      <c r="E188" s="60"/>
      <c r="F188" s="60"/>
      <c r="G188" s="61" t="s">
        <v>36</v>
      </c>
      <c r="H188" s="62"/>
      <c r="I188" s="63"/>
      <c r="J188" s="64"/>
      <c r="K188" s="206"/>
      <c r="L188" s="209"/>
      <c r="M188" s="69"/>
      <c r="N188" s="67"/>
      <c r="O188" s="67"/>
      <c r="P188" s="67"/>
      <c r="Q188" s="67"/>
      <c r="R188" s="68"/>
      <c r="S188" s="68"/>
      <c r="T188" s="67"/>
      <c r="U188" s="67"/>
      <c r="V188" s="67">
        <f t="shared" si="80"/>
        <v>0</v>
      </c>
      <c r="W188" s="67"/>
      <c r="X188" s="317"/>
    </row>
    <row r="189" spans="1:24" ht="17.25" customHeight="1" outlineLevel="2">
      <c r="A189" s="48"/>
      <c r="B189" s="58"/>
      <c r="C189" s="59"/>
      <c r="D189" s="59"/>
      <c r="E189" s="60"/>
      <c r="F189" s="60"/>
      <c r="G189" s="61" t="s">
        <v>151</v>
      </c>
      <c r="H189" s="62"/>
      <c r="I189" s="63"/>
      <c r="J189" s="64"/>
      <c r="K189" s="212"/>
      <c r="L189" s="209"/>
      <c r="M189" s="69"/>
      <c r="N189" s="67"/>
      <c r="O189" s="67"/>
      <c r="P189" s="67">
        <v>3000</v>
      </c>
      <c r="Q189" s="67">
        <v>3000</v>
      </c>
      <c r="R189" s="68"/>
      <c r="S189" s="68"/>
      <c r="T189" s="67"/>
      <c r="U189" s="67"/>
      <c r="V189" s="67">
        <f t="shared" si="80"/>
        <v>6000</v>
      </c>
      <c r="W189" s="67"/>
      <c r="X189" s="317"/>
    </row>
    <row r="190" spans="1:24" ht="21" customHeight="1">
      <c r="A190" s="19"/>
      <c r="B190" s="39" t="s">
        <v>91</v>
      </c>
      <c r="C190" s="70" t="s">
        <v>92</v>
      </c>
      <c r="D190" s="42"/>
      <c r="E190" s="71"/>
      <c r="F190" s="71"/>
      <c r="G190" s="72"/>
      <c r="H190" s="111"/>
      <c r="I190" s="112"/>
      <c r="J190" s="113"/>
      <c r="K190" s="230"/>
      <c r="L190" s="231"/>
      <c r="M190" s="111"/>
      <c r="N190" s="111"/>
      <c r="O190" s="111"/>
      <c r="P190" s="111"/>
      <c r="Q190" s="111"/>
      <c r="R190" s="111"/>
      <c r="S190" s="111"/>
      <c r="T190" s="115">
        <f t="shared" ref="T190:W190" si="81">SUM(T191:T200)</f>
        <v>8962</v>
      </c>
      <c r="U190" s="115">
        <f t="shared" si="81"/>
        <v>0</v>
      </c>
      <c r="V190" s="115">
        <f t="shared" si="81"/>
        <v>14501</v>
      </c>
      <c r="W190" s="115">
        <f t="shared" si="81"/>
        <v>0</v>
      </c>
      <c r="X190" s="111"/>
    </row>
    <row r="191" spans="1:24" ht="15.75" customHeight="1" outlineLevel="1">
      <c r="A191" s="48"/>
      <c r="B191" s="168"/>
      <c r="C191" s="332" t="s">
        <v>152</v>
      </c>
      <c r="D191" s="330"/>
      <c r="E191" s="50">
        <v>45748</v>
      </c>
      <c r="F191" s="50">
        <v>45716</v>
      </c>
      <c r="G191" s="61" t="s">
        <v>34</v>
      </c>
      <c r="H191" s="69"/>
      <c r="I191" s="69"/>
      <c r="J191" s="149"/>
      <c r="K191" s="206">
        <v>210</v>
      </c>
      <c r="L191" s="209">
        <v>424</v>
      </c>
      <c r="M191" s="69">
        <v>399</v>
      </c>
      <c r="N191" s="69">
        <v>160</v>
      </c>
      <c r="O191" s="69">
        <v>160</v>
      </c>
      <c r="P191" s="69">
        <v>151</v>
      </c>
      <c r="Q191" s="69"/>
      <c r="R191" s="69"/>
      <c r="S191" s="69"/>
      <c r="T191" s="69">
        <f t="shared" ref="T191:T200" si="82">SUM(H191:M191)</f>
        <v>1033</v>
      </c>
      <c r="U191" s="69"/>
      <c r="V191" s="69">
        <f t="shared" ref="V191:V200" si="83">SUM(N191:S191)</f>
        <v>471</v>
      </c>
      <c r="W191" s="69"/>
      <c r="X191" s="317"/>
    </row>
    <row r="192" spans="1:24" ht="15.75" customHeight="1" outlineLevel="1">
      <c r="A192" s="48"/>
      <c r="B192" s="168"/>
      <c r="C192" s="332" t="s">
        <v>153</v>
      </c>
      <c r="D192" s="330"/>
      <c r="E192" s="50">
        <v>45778</v>
      </c>
      <c r="F192" s="50">
        <v>45991</v>
      </c>
      <c r="G192" s="61" t="s">
        <v>34</v>
      </c>
      <c r="H192" s="69"/>
      <c r="I192" s="69"/>
      <c r="J192" s="149"/>
      <c r="K192" s="206"/>
      <c r="L192" s="209">
        <v>150</v>
      </c>
      <c r="M192" s="69">
        <v>0</v>
      </c>
      <c r="N192" s="69">
        <v>430</v>
      </c>
      <c r="O192" s="69">
        <v>430</v>
      </c>
      <c r="P192" s="69">
        <v>430</v>
      </c>
      <c r="Q192" s="69">
        <v>430</v>
      </c>
      <c r="R192" s="69">
        <v>430</v>
      </c>
      <c r="S192" s="69"/>
      <c r="T192" s="69">
        <f t="shared" si="82"/>
        <v>150</v>
      </c>
      <c r="U192" s="69"/>
      <c r="V192" s="69">
        <f t="shared" si="83"/>
        <v>2150</v>
      </c>
      <c r="W192" s="69"/>
      <c r="X192" s="317"/>
    </row>
    <row r="193" spans="1:24" ht="15.75" customHeight="1" outlineLevel="1">
      <c r="A193" s="48"/>
      <c r="B193" s="168"/>
      <c r="C193" s="332" t="s">
        <v>154</v>
      </c>
      <c r="D193" s="330"/>
      <c r="E193" s="50">
        <v>45901</v>
      </c>
      <c r="F193" s="50">
        <v>46021</v>
      </c>
      <c r="G193" s="61" t="s">
        <v>34</v>
      </c>
      <c r="H193" s="69"/>
      <c r="I193" s="69"/>
      <c r="J193" s="149"/>
      <c r="K193" s="206"/>
      <c r="L193" s="209"/>
      <c r="M193" s="69"/>
      <c r="N193" s="69"/>
      <c r="O193" s="69"/>
      <c r="P193" s="69">
        <v>375</v>
      </c>
      <c r="Q193" s="69">
        <v>375</v>
      </c>
      <c r="R193" s="69">
        <v>375</v>
      </c>
      <c r="S193" s="69">
        <v>375</v>
      </c>
      <c r="T193" s="69">
        <f t="shared" si="82"/>
        <v>0</v>
      </c>
      <c r="U193" s="69"/>
      <c r="V193" s="69">
        <f t="shared" si="83"/>
        <v>1500</v>
      </c>
      <c r="W193" s="69"/>
      <c r="X193" s="317"/>
    </row>
    <row r="194" spans="1:24" ht="15.75" customHeight="1" outlineLevel="1">
      <c r="A194" s="48"/>
      <c r="B194" s="168"/>
      <c r="C194" s="329" t="s">
        <v>155</v>
      </c>
      <c r="D194" s="330"/>
      <c r="E194" s="50">
        <v>45809</v>
      </c>
      <c r="F194" s="50">
        <v>45960</v>
      </c>
      <c r="G194" s="61" t="s">
        <v>34</v>
      </c>
      <c r="H194" s="69"/>
      <c r="I194" s="69"/>
      <c r="J194" s="149"/>
      <c r="K194" s="206"/>
      <c r="L194" s="209"/>
      <c r="M194" s="69"/>
      <c r="N194" s="69">
        <v>500</v>
      </c>
      <c r="O194" s="69">
        <v>500</v>
      </c>
      <c r="P194" s="69">
        <v>500</v>
      </c>
      <c r="Q194" s="69">
        <v>500</v>
      </c>
      <c r="R194" s="69"/>
      <c r="S194" s="69"/>
      <c r="T194" s="69">
        <f t="shared" si="82"/>
        <v>0</v>
      </c>
      <c r="U194" s="69"/>
      <c r="V194" s="69">
        <f t="shared" si="83"/>
        <v>2000</v>
      </c>
      <c r="W194" s="69"/>
      <c r="X194" s="317"/>
    </row>
    <row r="195" spans="1:24" ht="15.75" customHeight="1" outlineLevel="1">
      <c r="A195" s="48"/>
      <c r="B195" s="168"/>
      <c r="C195" s="329" t="s">
        <v>156</v>
      </c>
      <c r="D195" s="330"/>
      <c r="E195" s="50">
        <v>45870</v>
      </c>
      <c r="F195" s="50">
        <v>45930</v>
      </c>
      <c r="G195" s="61" t="s">
        <v>34</v>
      </c>
      <c r="H195" s="69"/>
      <c r="I195" s="69"/>
      <c r="J195" s="149"/>
      <c r="K195" s="206"/>
      <c r="L195" s="209"/>
      <c r="M195" s="69"/>
      <c r="N195" s="69">
        <v>500</v>
      </c>
      <c r="O195" s="69">
        <v>1500</v>
      </c>
      <c r="P195" s="69">
        <v>1000</v>
      </c>
      <c r="Q195" s="69"/>
      <c r="R195" s="69"/>
      <c r="S195" s="69"/>
      <c r="T195" s="69">
        <f t="shared" si="82"/>
        <v>0</v>
      </c>
      <c r="U195" s="69"/>
      <c r="V195" s="69">
        <f t="shared" si="83"/>
        <v>3000</v>
      </c>
      <c r="W195" s="69"/>
      <c r="X195" s="317"/>
    </row>
    <row r="196" spans="1:24" ht="15.75" customHeight="1" outlineLevel="1">
      <c r="A196" s="48"/>
      <c r="B196" s="49"/>
      <c r="C196" s="329" t="s">
        <v>157</v>
      </c>
      <c r="D196" s="330"/>
      <c r="E196" s="50">
        <v>45809</v>
      </c>
      <c r="F196" s="50">
        <v>45869</v>
      </c>
      <c r="G196" s="61" t="s">
        <v>34</v>
      </c>
      <c r="H196" s="69"/>
      <c r="I196" s="69"/>
      <c r="J196" s="149"/>
      <c r="K196" s="206"/>
      <c r="L196" s="209"/>
      <c r="M196" s="69">
        <v>1563</v>
      </c>
      <c r="N196" s="69">
        <v>1950</v>
      </c>
      <c r="O196" s="69"/>
      <c r="P196" s="69"/>
      <c r="Q196" s="69"/>
      <c r="R196" s="69"/>
      <c r="S196" s="69"/>
      <c r="T196" s="69">
        <f t="shared" si="82"/>
        <v>1563</v>
      </c>
      <c r="U196" s="69"/>
      <c r="V196" s="69">
        <f t="shared" si="83"/>
        <v>1950</v>
      </c>
      <c r="W196" s="69"/>
      <c r="X196" s="317"/>
    </row>
    <row r="197" spans="1:24" ht="15.75" customHeight="1" outlineLevel="1">
      <c r="A197" s="48"/>
      <c r="B197" s="49"/>
      <c r="C197" s="329" t="s">
        <v>105</v>
      </c>
      <c r="D197" s="330"/>
      <c r="E197" s="50">
        <v>45717</v>
      </c>
      <c r="F197" s="50">
        <v>45746</v>
      </c>
      <c r="G197" s="61" t="s">
        <v>34</v>
      </c>
      <c r="H197" s="130"/>
      <c r="I197" s="130"/>
      <c r="J197" s="206">
        <v>145</v>
      </c>
      <c r="K197" s="206">
        <v>975</v>
      </c>
      <c r="L197" s="209">
        <v>975</v>
      </c>
      <c r="M197" s="258">
        <v>978</v>
      </c>
      <c r="N197" s="258">
        <v>950</v>
      </c>
      <c r="O197" s="130"/>
      <c r="P197" s="130"/>
      <c r="Q197" s="130"/>
      <c r="R197" s="130"/>
      <c r="S197" s="130"/>
      <c r="T197" s="69">
        <f t="shared" si="82"/>
        <v>3073</v>
      </c>
      <c r="U197" s="130"/>
      <c r="V197" s="69">
        <f t="shared" si="83"/>
        <v>950</v>
      </c>
      <c r="W197" s="130"/>
      <c r="X197" s="317"/>
    </row>
    <row r="198" spans="1:24" ht="15.75" customHeight="1" outlineLevel="1">
      <c r="A198" s="48"/>
      <c r="B198" s="49"/>
      <c r="C198" s="329" t="s">
        <v>158</v>
      </c>
      <c r="D198" s="330"/>
      <c r="E198" s="50">
        <v>45870</v>
      </c>
      <c r="F198" s="50">
        <v>45915</v>
      </c>
      <c r="G198" s="61" t="s">
        <v>34</v>
      </c>
      <c r="H198" s="130"/>
      <c r="I198" s="130"/>
      <c r="J198" s="206"/>
      <c r="K198" s="206"/>
      <c r="L198" s="209"/>
      <c r="M198" s="258"/>
      <c r="N198" s="258"/>
      <c r="O198" s="130">
        <v>1000</v>
      </c>
      <c r="P198" s="130"/>
      <c r="Q198" s="130"/>
      <c r="R198" s="130"/>
      <c r="S198" s="130"/>
      <c r="T198" s="69">
        <f t="shared" si="82"/>
        <v>0</v>
      </c>
      <c r="U198" s="130"/>
      <c r="V198" s="69">
        <f t="shared" si="83"/>
        <v>1000</v>
      </c>
      <c r="W198" s="130"/>
      <c r="X198" s="317"/>
    </row>
    <row r="199" spans="1:24" ht="15.75" customHeight="1" outlineLevel="1">
      <c r="A199" s="48"/>
      <c r="B199" s="168"/>
      <c r="C199" s="329" t="s">
        <v>159</v>
      </c>
      <c r="D199" s="330"/>
      <c r="E199" s="50">
        <v>45828</v>
      </c>
      <c r="F199" s="50">
        <v>45838</v>
      </c>
      <c r="G199" s="61" t="s">
        <v>34</v>
      </c>
      <c r="H199" s="69"/>
      <c r="I199" s="69"/>
      <c r="J199" s="149" t="s">
        <v>160</v>
      </c>
      <c r="K199" s="206"/>
      <c r="L199" s="209"/>
      <c r="M199" s="69"/>
      <c r="N199" s="69"/>
      <c r="O199" s="69"/>
      <c r="P199" s="69"/>
      <c r="Q199" s="69"/>
      <c r="R199" s="69"/>
      <c r="S199" s="69"/>
      <c r="T199" s="69">
        <f t="shared" si="82"/>
        <v>0</v>
      </c>
      <c r="U199" s="69"/>
      <c r="V199" s="69">
        <f t="shared" si="83"/>
        <v>0</v>
      </c>
      <c r="W199" s="69"/>
      <c r="X199" s="317"/>
    </row>
    <row r="200" spans="1:24" ht="15.75" customHeight="1" outlineLevel="1">
      <c r="A200" s="48"/>
      <c r="B200" s="168"/>
      <c r="C200" s="332" t="s">
        <v>94</v>
      </c>
      <c r="D200" s="330"/>
      <c r="E200" s="50"/>
      <c r="F200" s="50"/>
      <c r="G200" s="61" t="s">
        <v>34</v>
      </c>
      <c r="H200" s="69">
        <v>307</v>
      </c>
      <c r="I200" s="69">
        <v>1533</v>
      </c>
      <c r="J200" s="149">
        <v>204</v>
      </c>
      <c r="K200" s="206">
        <v>1099</v>
      </c>
      <c r="L200" s="209"/>
      <c r="M200" s="69"/>
      <c r="N200" s="69"/>
      <c r="O200" s="69"/>
      <c r="P200" s="69">
        <v>370</v>
      </c>
      <c r="Q200" s="69">
        <v>370</v>
      </c>
      <c r="R200" s="69">
        <v>370</v>
      </c>
      <c r="S200" s="69">
        <v>370</v>
      </c>
      <c r="T200" s="69">
        <f t="shared" si="82"/>
        <v>3143</v>
      </c>
      <c r="U200" s="69"/>
      <c r="V200" s="69">
        <f t="shared" si="83"/>
        <v>1480</v>
      </c>
      <c r="W200" s="69"/>
      <c r="X200" s="317"/>
    </row>
    <row r="201" spans="1:24" ht="21" customHeight="1">
      <c r="A201" s="19"/>
      <c r="B201" s="31">
        <v>8</v>
      </c>
      <c r="C201" s="32" t="s">
        <v>95</v>
      </c>
      <c r="D201" s="33"/>
      <c r="E201" s="33"/>
      <c r="F201" s="33"/>
      <c r="G201" s="173"/>
      <c r="H201" s="173"/>
      <c r="I201" s="173"/>
      <c r="J201" s="173"/>
      <c r="K201" s="260"/>
      <c r="L201" s="261"/>
      <c r="M201" s="173"/>
      <c r="N201" s="173"/>
      <c r="O201" s="173"/>
      <c r="P201" s="173"/>
      <c r="Q201" s="173"/>
      <c r="R201" s="173"/>
      <c r="S201" s="173"/>
      <c r="T201" s="175">
        <f t="shared" ref="T201:W201" si="84">T202+T207+T211+T215+T216+T217+T218</f>
        <v>0</v>
      </c>
      <c r="U201" s="175">
        <f t="shared" si="84"/>
        <v>197154</v>
      </c>
      <c r="V201" s="175">
        <f t="shared" si="84"/>
        <v>0</v>
      </c>
      <c r="W201" s="175">
        <f t="shared" si="84"/>
        <v>151668</v>
      </c>
      <c r="X201" s="327"/>
    </row>
    <row r="202" spans="1:24" ht="15.75" customHeight="1" outlineLevel="1">
      <c r="A202" s="48"/>
      <c r="B202" s="49">
        <v>8.1</v>
      </c>
      <c r="C202" s="329" t="s">
        <v>96</v>
      </c>
      <c r="D202" s="330"/>
      <c r="E202" s="50">
        <v>45658</v>
      </c>
      <c r="F202" s="50">
        <v>46021</v>
      </c>
      <c r="G202" s="135"/>
      <c r="H202" s="57"/>
      <c r="I202" s="57"/>
      <c r="J202" s="169"/>
      <c r="K202" s="179"/>
      <c r="L202" s="223"/>
      <c r="M202" s="57"/>
      <c r="N202" s="57"/>
      <c r="O202" s="57"/>
      <c r="P202" s="57"/>
      <c r="Q202" s="57"/>
      <c r="R202" s="57"/>
      <c r="S202" s="57"/>
      <c r="T202" s="57"/>
      <c r="U202" s="57">
        <f>SUM(U203:U206)</f>
        <v>91294</v>
      </c>
      <c r="V202" s="57"/>
      <c r="W202" s="57">
        <f>SUM(W203:W206)</f>
        <v>91668</v>
      </c>
      <c r="X202" s="316"/>
    </row>
    <row r="203" spans="1:24" ht="17.25" customHeight="1" outlineLevel="2">
      <c r="A203" s="48"/>
      <c r="B203" s="58"/>
      <c r="C203" s="59"/>
      <c r="D203" s="59"/>
      <c r="E203" s="60"/>
      <c r="F203" s="60"/>
      <c r="G203" s="61" t="s">
        <v>33</v>
      </c>
      <c r="H203" s="69"/>
      <c r="I203" s="69"/>
      <c r="J203" s="149"/>
      <c r="K203" s="206"/>
      <c r="L203" s="209">
        <v>5909</v>
      </c>
      <c r="M203" s="69">
        <v>7163</v>
      </c>
      <c r="N203" s="69">
        <v>5500</v>
      </c>
      <c r="O203" s="69">
        <v>5500</v>
      </c>
      <c r="P203" s="69">
        <v>5500</v>
      </c>
      <c r="Q203" s="69">
        <v>5500</v>
      </c>
      <c r="R203" s="69">
        <v>5500</v>
      </c>
      <c r="S203" s="69">
        <v>5500</v>
      </c>
      <c r="T203" s="69"/>
      <c r="U203" s="69">
        <f t="shared" ref="U203:U206" si="85">SUM(H203:M203)</f>
        <v>13072</v>
      </c>
      <c r="V203" s="69"/>
      <c r="W203" s="69">
        <f t="shared" ref="W203:W206" si="86">SUM(N203:S203)</f>
        <v>33000</v>
      </c>
      <c r="X203" s="317"/>
    </row>
    <row r="204" spans="1:24" ht="17.25" customHeight="1" outlineLevel="2">
      <c r="A204" s="48"/>
      <c r="B204" s="58"/>
      <c r="C204" s="59"/>
      <c r="D204" s="59"/>
      <c r="E204" s="60"/>
      <c r="F204" s="60"/>
      <c r="G204" s="61" t="s">
        <v>34</v>
      </c>
      <c r="H204" s="69">
        <v>4044</v>
      </c>
      <c r="I204" s="69">
        <v>5871</v>
      </c>
      <c r="J204" s="149">
        <v>9837</v>
      </c>
      <c r="K204" s="206">
        <v>3628</v>
      </c>
      <c r="L204" s="209">
        <v>3426</v>
      </c>
      <c r="M204" s="69">
        <v>10341</v>
      </c>
      <c r="N204" s="69">
        <v>3500</v>
      </c>
      <c r="O204" s="69">
        <v>3500</v>
      </c>
      <c r="P204" s="69">
        <v>3500</v>
      </c>
      <c r="Q204" s="69">
        <v>3500</v>
      </c>
      <c r="R204" s="69">
        <v>3500</v>
      </c>
      <c r="S204" s="69">
        <v>3500</v>
      </c>
      <c r="T204" s="69"/>
      <c r="U204" s="69">
        <f t="shared" si="85"/>
        <v>37147</v>
      </c>
      <c r="V204" s="69"/>
      <c r="W204" s="69">
        <f t="shared" si="86"/>
        <v>21000</v>
      </c>
      <c r="X204" s="317"/>
    </row>
    <row r="205" spans="1:24" ht="15.75" customHeight="1" outlineLevel="2">
      <c r="A205" s="48"/>
      <c r="B205" s="58"/>
      <c r="C205" s="59"/>
      <c r="D205" s="59"/>
      <c r="E205" s="60"/>
      <c r="F205" s="60"/>
      <c r="G205" s="61" t="s">
        <v>85</v>
      </c>
      <c r="H205" s="69">
        <v>3557</v>
      </c>
      <c r="I205" s="69">
        <v>3303</v>
      </c>
      <c r="J205" s="149">
        <v>6880</v>
      </c>
      <c r="K205" s="206">
        <v>7721</v>
      </c>
      <c r="L205" s="209">
        <v>6986</v>
      </c>
      <c r="M205" s="69">
        <v>4192</v>
      </c>
      <c r="N205" s="69">
        <v>5000</v>
      </c>
      <c r="O205" s="69">
        <v>5000</v>
      </c>
      <c r="P205" s="69">
        <v>5000</v>
      </c>
      <c r="Q205" s="69">
        <v>5000</v>
      </c>
      <c r="R205" s="69">
        <v>5000</v>
      </c>
      <c r="S205" s="69">
        <v>5000</v>
      </c>
      <c r="T205" s="69"/>
      <c r="U205" s="69">
        <f t="shared" si="85"/>
        <v>32639</v>
      </c>
      <c r="V205" s="69"/>
      <c r="W205" s="69">
        <f t="shared" si="86"/>
        <v>30000</v>
      </c>
      <c r="X205" s="317"/>
    </row>
    <row r="206" spans="1:24" ht="15.75" customHeight="1" outlineLevel="2">
      <c r="A206" s="48"/>
      <c r="B206" s="58"/>
      <c r="C206" s="59"/>
      <c r="D206" s="59"/>
      <c r="E206" s="60"/>
      <c r="F206" s="60"/>
      <c r="G206" s="61" t="s">
        <v>97</v>
      </c>
      <c r="H206" s="69">
        <v>1534</v>
      </c>
      <c r="I206" s="69">
        <v>1534</v>
      </c>
      <c r="J206" s="149">
        <v>1534</v>
      </c>
      <c r="K206" s="206">
        <v>1278</v>
      </c>
      <c r="L206" s="209">
        <v>1278</v>
      </c>
      <c r="M206" s="69">
        <v>1278</v>
      </c>
      <c r="N206" s="69">
        <v>1278</v>
      </c>
      <c r="O206" s="69">
        <v>1278</v>
      </c>
      <c r="P206" s="69">
        <v>1278</v>
      </c>
      <c r="Q206" s="69">
        <v>1278</v>
      </c>
      <c r="R206" s="69">
        <v>1278</v>
      </c>
      <c r="S206" s="69">
        <v>1278</v>
      </c>
      <c r="T206" s="69"/>
      <c r="U206" s="69">
        <f t="shared" si="85"/>
        <v>8436</v>
      </c>
      <c r="V206" s="69"/>
      <c r="W206" s="69">
        <f t="shared" si="86"/>
        <v>7668</v>
      </c>
      <c r="X206" s="317"/>
    </row>
    <row r="207" spans="1:24" ht="15.75" customHeight="1" outlineLevel="1">
      <c r="A207" s="48"/>
      <c r="B207" s="49">
        <v>8.1999999999999993</v>
      </c>
      <c r="C207" s="329" t="s">
        <v>161</v>
      </c>
      <c r="D207" s="330"/>
      <c r="E207" s="50">
        <v>45658</v>
      </c>
      <c r="F207" s="50">
        <v>46021</v>
      </c>
      <c r="G207" s="135"/>
      <c r="H207" s="57"/>
      <c r="I207" s="57"/>
      <c r="J207" s="169"/>
      <c r="K207" s="179"/>
      <c r="L207" s="223"/>
      <c r="M207" s="57"/>
      <c r="N207" s="57"/>
      <c r="O207" s="57"/>
      <c r="P207" s="57"/>
      <c r="Q207" s="57"/>
      <c r="R207" s="57"/>
      <c r="S207" s="57"/>
      <c r="T207" s="57"/>
      <c r="U207" s="57">
        <f>SUM(U208:U210)</f>
        <v>5625</v>
      </c>
      <c r="V207" s="57"/>
      <c r="W207" s="57">
        <f>SUM(W208:W210)</f>
        <v>0</v>
      </c>
      <c r="X207" s="316"/>
    </row>
    <row r="208" spans="1:24" ht="15.75" customHeight="1" outlineLevel="2">
      <c r="A208" s="48"/>
      <c r="B208" s="58"/>
      <c r="C208" s="59"/>
      <c r="D208" s="59"/>
      <c r="E208" s="60"/>
      <c r="F208" s="60"/>
      <c r="G208" s="61" t="s">
        <v>33</v>
      </c>
      <c r="H208" s="69"/>
      <c r="I208" s="69"/>
      <c r="J208" s="149"/>
      <c r="K208" s="206"/>
      <c r="L208" s="209"/>
      <c r="M208" s="69"/>
      <c r="N208" s="69"/>
      <c r="O208" s="69"/>
      <c r="P208" s="69"/>
      <c r="Q208" s="69"/>
      <c r="R208" s="69"/>
      <c r="S208" s="69"/>
      <c r="T208" s="69"/>
      <c r="U208" s="69">
        <f t="shared" ref="U208:U210" si="87">SUM(H208:M208)</f>
        <v>0</v>
      </c>
      <c r="V208" s="69"/>
      <c r="W208" s="176"/>
      <c r="X208" s="183"/>
    </row>
    <row r="209" spans="1:24" ht="15.75" customHeight="1" outlineLevel="2">
      <c r="A209" s="48"/>
      <c r="B209" s="58"/>
      <c r="C209" s="59"/>
      <c r="D209" s="59"/>
      <c r="E209" s="60"/>
      <c r="F209" s="60"/>
      <c r="G209" s="61" t="s">
        <v>34</v>
      </c>
      <c r="H209" s="69">
        <v>1277</v>
      </c>
      <c r="I209" s="69">
        <v>1022</v>
      </c>
      <c r="J209" s="149"/>
      <c r="K209" s="206"/>
      <c r="L209" s="209"/>
      <c r="M209" s="69"/>
      <c r="N209" s="69"/>
      <c r="O209" s="69"/>
      <c r="P209" s="69"/>
      <c r="Q209" s="69"/>
      <c r="R209" s="69"/>
      <c r="S209" s="69"/>
      <c r="T209" s="69"/>
      <c r="U209" s="69">
        <f t="shared" si="87"/>
        <v>2299</v>
      </c>
      <c r="V209" s="69"/>
      <c r="W209" s="176"/>
      <c r="X209" s="183"/>
    </row>
    <row r="210" spans="1:24" ht="15.75" customHeight="1" outlineLevel="2">
      <c r="A210" s="48"/>
      <c r="B210" s="58"/>
      <c r="C210" s="59"/>
      <c r="D210" s="59"/>
      <c r="E210" s="60"/>
      <c r="F210" s="60"/>
      <c r="G210" s="61" t="s">
        <v>85</v>
      </c>
      <c r="H210" s="69">
        <v>758</v>
      </c>
      <c r="I210" s="69">
        <v>767</v>
      </c>
      <c r="J210" s="149"/>
      <c r="K210" s="206">
        <v>1801</v>
      </c>
      <c r="L210" s="209"/>
      <c r="M210" s="69"/>
      <c r="N210" s="69"/>
      <c r="O210" s="69"/>
      <c r="P210" s="69"/>
      <c r="Q210" s="69"/>
      <c r="R210" s="69"/>
      <c r="S210" s="69"/>
      <c r="T210" s="69"/>
      <c r="U210" s="69">
        <f t="shared" si="87"/>
        <v>3326</v>
      </c>
      <c r="V210" s="69"/>
      <c r="W210" s="176"/>
      <c r="X210" s="183"/>
    </row>
    <row r="211" spans="1:24" ht="15.75" customHeight="1" outlineLevel="1">
      <c r="A211" s="48"/>
      <c r="B211" s="49">
        <v>8.3000000000000007</v>
      </c>
      <c r="C211" s="329" t="s">
        <v>99</v>
      </c>
      <c r="D211" s="330"/>
      <c r="E211" s="50">
        <v>45658</v>
      </c>
      <c r="F211" s="50">
        <v>46021</v>
      </c>
      <c r="G211" s="135"/>
      <c r="H211" s="57"/>
      <c r="I211" s="57"/>
      <c r="J211" s="169"/>
      <c r="K211" s="179"/>
      <c r="L211" s="223"/>
      <c r="M211" s="57"/>
      <c r="N211" s="57"/>
      <c r="O211" s="57"/>
      <c r="P211" s="57"/>
      <c r="Q211" s="57"/>
      <c r="R211" s="57"/>
      <c r="S211" s="57"/>
      <c r="T211" s="57"/>
      <c r="U211" s="57">
        <f>SUM(U212:U214)</f>
        <v>2291</v>
      </c>
      <c r="V211" s="57"/>
      <c r="W211" s="57">
        <f>SUM(W212:W214)</f>
        <v>0</v>
      </c>
      <c r="X211" s="316"/>
    </row>
    <row r="212" spans="1:24" ht="17.25" customHeight="1" outlineLevel="2">
      <c r="A212" s="48"/>
      <c r="B212" s="58"/>
      <c r="C212" s="59"/>
      <c r="D212" s="59"/>
      <c r="E212" s="60"/>
      <c r="F212" s="60"/>
      <c r="G212" s="61" t="s">
        <v>33</v>
      </c>
      <c r="H212" s="69"/>
      <c r="I212" s="69"/>
      <c r="J212" s="149"/>
      <c r="K212" s="206"/>
      <c r="L212" s="209"/>
      <c r="M212" s="69"/>
      <c r="N212" s="69"/>
      <c r="O212" s="69"/>
      <c r="P212" s="69"/>
      <c r="Q212" s="69"/>
      <c r="R212" s="69"/>
      <c r="S212" s="69"/>
      <c r="T212" s="69"/>
      <c r="U212" s="69">
        <f t="shared" ref="U212:U218" si="88">SUM(H212:M212)</f>
        <v>0</v>
      </c>
      <c r="V212" s="69"/>
      <c r="W212" s="69">
        <f t="shared" ref="W212:W218" si="89">SUM(N212:S212)</f>
        <v>0</v>
      </c>
      <c r="X212" s="317"/>
    </row>
    <row r="213" spans="1:24" ht="17.25" customHeight="1" outlineLevel="2">
      <c r="A213" s="48"/>
      <c r="B213" s="58"/>
      <c r="C213" s="59"/>
      <c r="D213" s="59"/>
      <c r="E213" s="60"/>
      <c r="F213" s="60"/>
      <c r="G213" s="61" t="s">
        <v>34</v>
      </c>
      <c r="H213" s="69">
        <v>1255</v>
      </c>
      <c r="I213" s="69">
        <v>276</v>
      </c>
      <c r="J213" s="149"/>
      <c r="K213" s="206"/>
      <c r="L213" s="209"/>
      <c r="M213" s="69"/>
      <c r="N213" s="69"/>
      <c r="O213" s="69"/>
      <c r="P213" s="69"/>
      <c r="Q213" s="69"/>
      <c r="R213" s="69"/>
      <c r="S213" s="69"/>
      <c r="T213" s="69"/>
      <c r="U213" s="69">
        <f t="shared" si="88"/>
        <v>1531</v>
      </c>
      <c r="V213" s="69"/>
      <c r="W213" s="69">
        <f t="shared" si="89"/>
        <v>0</v>
      </c>
      <c r="X213" s="317"/>
    </row>
    <row r="214" spans="1:24" ht="15.75" customHeight="1" outlineLevel="2">
      <c r="A214" s="48"/>
      <c r="B214" s="58"/>
      <c r="C214" s="59"/>
      <c r="D214" s="59"/>
      <c r="E214" s="60"/>
      <c r="F214" s="60"/>
      <c r="G214" s="61" t="s">
        <v>85</v>
      </c>
      <c r="H214" s="69"/>
      <c r="I214" s="69">
        <v>760</v>
      </c>
      <c r="J214" s="149"/>
      <c r="K214" s="206"/>
      <c r="L214" s="209"/>
      <c r="M214" s="69"/>
      <c r="N214" s="69"/>
      <c r="O214" s="69"/>
      <c r="P214" s="69"/>
      <c r="Q214" s="69"/>
      <c r="R214" s="69"/>
      <c r="S214" s="69"/>
      <c r="T214" s="69"/>
      <c r="U214" s="69">
        <f t="shared" si="88"/>
        <v>760</v>
      </c>
      <c r="V214" s="69"/>
      <c r="W214" s="69">
        <f t="shared" si="89"/>
        <v>0</v>
      </c>
      <c r="X214" s="317"/>
    </row>
    <row r="215" spans="1:24" ht="15.75" customHeight="1" outlineLevel="1">
      <c r="A215" s="48"/>
      <c r="B215" s="49">
        <v>8.5</v>
      </c>
      <c r="C215" s="332" t="s">
        <v>100</v>
      </c>
      <c r="D215" s="330"/>
      <c r="E215" s="50">
        <v>45797</v>
      </c>
      <c r="F215" s="50">
        <v>46021</v>
      </c>
      <c r="G215" s="177" t="s">
        <v>36</v>
      </c>
      <c r="H215" s="57"/>
      <c r="I215" s="57"/>
      <c r="J215" s="169"/>
      <c r="K215" s="179"/>
      <c r="L215" s="223"/>
      <c r="M215" s="57"/>
      <c r="N215" s="57">
        <v>10000</v>
      </c>
      <c r="O215" s="57">
        <v>10000</v>
      </c>
      <c r="P215" s="57">
        <v>10000</v>
      </c>
      <c r="Q215" s="57">
        <v>10000</v>
      </c>
      <c r="R215" s="57">
        <v>10000</v>
      </c>
      <c r="S215" s="57">
        <v>10000</v>
      </c>
      <c r="T215" s="57"/>
      <c r="U215" s="57">
        <f t="shared" si="88"/>
        <v>0</v>
      </c>
      <c r="V215" s="57"/>
      <c r="W215" s="57">
        <f t="shared" si="89"/>
        <v>60000</v>
      </c>
      <c r="X215" s="316"/>
    </row>
    <row r="216" spans="1:24" ht="15.75" customHeight="1" outlineLevel="1">
      <c r="A216" s="48"/>
      <c r="B216" s="49">
        <v>8.6</v>
      </c>
      <c r="C216" s="332" t="s">
        <v>101</v>
      </c>
      <c r="D216" s="330"/>
      <c r="E216" s="50">
        <v>45658</v>
      </c>
      <c r="F216" s="50">
        <v>46021</v>
      </c>
      <c r="G216" s="177" t="s">
        <v>36</v>
      </c>
      <c r="H216" s="57">
        <v>15733</v>
      </c>
      <c r="I216" s="57">
        <v>15577</v>
      </c>
      <c r="J216" s="169">
        <v>14035</v>
      </c>
      <c r="K216" s="179">
        <v>16915</v>
      </c>
      <c r="L216" s="223">
        <v>16239</v>
      </c>
      <c r="M216" s="57">
        <v>18262</v>
      </c>
      <c r="N216" s="57"/>
      <c r="O216" s="57"/>
      <c r="P216" s="57"/>
      <c r="Q216" s="57"/>
      <c r="R216" s="57"/>
      <c r="S216" s="57"/>
      <c r="T216" s="57"/>
      <c r="U216" s="57">
        <f t="shared" si="88"/>
        <v>96761</v>
      </c>
      <c r="V216" s="57"/>
      <c r="W216" s="57">
        <f t="shared" si="89"/>
        <v>0</v>
      </c>
      <c r="X216" s="316"/>
    </row>
    <row r="217" spans="1:24" ht="15.75" customHeight="1" outlineLevel="1">
      <c r="A217" s="48"/>
      <c r="B217" s="49">
        <v>8.6999999999999993</v>
      </c>
      <c r="C217" s="332" t="s">
        <v>102</v>
      </c>
      <c r="D217" s="330"/>
      <c r="E217" s="50">
        <v>45658</v>
      </c>
      <c r="F217" s="50">
        <v>46021</v>
      </c>
      <c r="G217" s="177" t="s">
        <v>34</v>
      </c>
      <c r="H217" s="57">
        <v>255</v>
      </c>
      <c r="I217" s="57">
        <v>251</v>
      </c>
      <c r="J217" s="169">
        <v>260</v>
      </c>
      <c r="K217" s="179"/>
      <c r="L217" s="223"/>
      <c r="M217" s="57"/>
      <c r="N217" s="57"/>
      <c r="O217" s="57"/>
      <c r="P217" s="57"/>
      <c r="Q217" s="57"/>
      <c r="R217" s="57"/>
      <c r="S217" s="57"/>
      <c r="T217" s="57"/>
      <c r="U217" s="57">
        <f t="shared" si="88"/>
        <v>766</v>
      </c>
      <c r="V217" s="57"/>
      <c r="W217" s="57">
        <f t="shared" si="89"/>
        <v>0</v>
      </c>
      <c r="X217" s="316"/>
    </row>
    <row r="218" spans="1:24" ht="15.75" customHeight="1" outlineLevel="1">
      <c r="A218" s="48"/>
      <c r="B218" s="49">
        <v>8.8000000000000007</v>
      </c>
      <c r="C218" s="332" t="s">
        <v>103</v>
      </c>
      <c r="D218" s="330"/>
      <c r="E218" s="49" t="s">
        <v>81</v>
      </c>
      <c r="F218" s="49" t="s">
        <v>73</v>
      </c>
      <c r="G218" s="177" t="s">
        <v>34</v>
      </c>
      <c r="H218" s="57">
        <v>411</v>
      </c>
      <c r="I218" s="57">
        <v>6</v>
      </c>
      <c r="J218" s="169"/>
      <c r="K218" s="179"/>
      <c r="L218" s="223"/>
      <c r="M218" s="57"/>
      <c r="N218" s="57"/>
      <c r="O218" s="262"/>
      <c r="P218" s="57"/>
      <c r="Q218" s="57"/>
      <c r="R218" s="57"/>
      <c r="S218" s="57"/>
      <c r="T218" s="57"/>
      <c r="U218" s="57">
        <f t="shared" si="88"/>
        <v>417</v>
      </c>
      <c r="V218" s="57"/>
      <c r="W218" s="57">
        <f t="shared" si="89"/>
        <v>0</v>
      </c>
      <c r="X218" s="316"/>
    </row>
    <row r="219" spans="1:24" ht="21" customHeight="1">
      <c r="A219" s="19"/>
      <c r="B219" s="31">
        <v>9</v>
      </c>
      <c r="C219" s="32" t="s">
        <v>104</v>
      </c>
      <c r="D219" s="33"/>
      <c r="E219" s="33"/>
      <c r="F219" s="33"/>
      <c r="G219" s="173"/>
      <c r="H219" s="34"/>
      <c r="I219" s="35"/>
      <c r="J219" s="36"/>
      <c r="K219" s="199"/>
      <c r="L219" s="200"/>
      <c r="M219" s="34"/>
      <c r="N219" s="34"/>
      <c r="O219" s="34"/>
      <c r="P219" s="34"/>
      <c r="Q219" s="34"/>
      <c r="R219" s="34"/>
      <c r="S219" s="34"/>
      <c r="T219" s="38">
        <f>SUM(T220:T225)</f>
        <v>0</v>
      </c>
      <c r="U219" s="263">
        <f>U225+U224+U220</f>
        <v>14945</v>
      </c>
      <c r="V219" s="263">
        <f>SUM(V220:V225)</f>
        <v>0</v>
      </c>
      <c r="W219" s="263">
        <f>W220+W224+W225</f>
        <v>40000</v>
      </c>
      <c r="X219" s="263"/>
    </row>
    <row r="220" spans="1:24" ht="15.75" customHeight="1" outlineLevel="1">
      <c r="A220" s="48"/>
      <c r="B220" s="49">
        <v>9.1999999999999993</v>
      </c>
      <c r="C220" s="332" t="s">
        <v>108</v>
      </c>
      <c r="D220" s="330"/>
      <c r="E220" s="50"/>
      <c r="F220" s="50"/>
      <c r="G220" s="177"/>
      <c r="H220" s="142"/>
      <c r="I220" s="142"/>
      <c r="J220" s="179"/>
      <c r="K220" s="179"/>
      <c r="L220" s="223"/>
      <c r="M220" s="264"/>
      <c r="N220" s="155"/>
      <c r="O220" s="155"/>
      <c r="P220" s="155"/>
      <c r="Q220" s="155"/>
      <c r="R220" s="155"/>
      <c r="S220" s="155"/>
      <c r="T220" s="142"/>
      <c r="U220" s="265">
        <f>SUM(U221:U223)</f>
        <v>5643</v>
      </c>
      <c r="V220" s="266"/>
      <c r="W220" s="265">
        <f>SUM(W221:W223)</f>
        <v>40000</v>
      </c>
      <c r="X220" s="328"/>
    </row>
    <row r="221" spans="1:24" ht="17.25" customHeight="1" outlineLevel="2">
      <c r="A221" s="48"/>
      <c r="B221" s="58"/>
      <c r="C221" s="59"/>
      <c r="D221" s="59"/>
      <c r="E221" s="60"/>
      <c r="F221" s="60"/>
      <c r="G221" s="61" t="s">
        <v>33</v>
      </c>
      <c r="H221" s="69"/>
      <c r="I221" s="69"/>
      <c r="J221" s="149"/>
      <c r="K221" s="206"/>
      <c r="L221" s="209"/>
      <c r="M221" s="69"/>
      <c r="N221" s="69"/>
      <c r="O221" s="69">
        <v>2000</v>
      </c>
      <c r="P221" s="69">
        <v>2000</v>
      </c>
      <c r="Q221" s="69">
        <v>2000</v>
      </c>
      <c r="R221" s="69">
        <v>2000</v>
      </c>
      <c r="S221" s="69">
        <v>2000</v>
      </c>
      <c r="T221" s="69"/>
      <c r="U221" s="69">
        <f t="shared" ref="U221:U225" si="90">SUM(H221:M221)</f>
        <v>0</v>
      </c>
      <c r="V221" s="69"/>
      <c r="W221" s="69">
        <f t="shared" ref="W221:W225" si="91">SUM(N221:S221)</f>
        <v>10000</v>
      </c>
      <c r="X221" s="317"/>
    </row>
    <row r="222" spans="1:24" ht="17.25" customHeight="1" outlineLevel="2">
      <c r="A222" s="48"/>
      <c r="B222" s="58"/>
      <c r="C222" s="59"/>
      <c r="D222" s="59"/>
      <c r="E222" s="60"/>
      <c r="F222" s="60"/>
      <c r="G222" s="61" t="s">
        <v>34</v>
      </c>
      <c r="H222" s="69">
        <v>1022</v>
      </c>
      <c r="I222" s="69">
        <v>1022</v>
      </c>
      <c r="J222" s="149">
        <v>1022</v>
      </c>
      <c r="K222" s="206">
        <v>899</v>
      </c>
      <c r="L222" s="209">
        <v>505</v>
      </c>
      <c r="M222" s="69">
        <v>950</v>
      </c>
      <c r="N222" s="69">
        <v>2000</v>
      </c>
      <c r="O222" s="69">
        <v>2000</v>
      </c>
      <c r="P222" s="69">
        <v>2000</v>
      </c>
      <c r="Q222" s="69">
        <v>2000</v>
      </c>
      <c r="R222" s="69">
        <v>2000</v>
      </c>
      <c r="S222" s="69">
        <v>2000</v>
      </c>
      <c r="T222" s="69"/>
      <c r="U222" s="69">
        <f t="shared" si="90"/>
        <v>5420</v>
      </c>
      <c r="V222" s="69"/>
      <c r="W222" s="69">
        <f t="shared" si="91"/>
        <v>12000</v>
      </c>
      <c r="X222" s="317"/>
    </row>
    <row r="223" spans="1:24" ht="15.75" customHeight="1" outlineLevel="2">
      <c r="A223" s="48"/>
      <c r="B223" s="58"/>
      <c r="C223" s="59"/>
      <c r="D223" s="59"/>
      <c r="E223" s="60"/>
      <c r="F223" s="60"/>
      <c r="G223" s="61" t="s">
        <v>85</v>
      </c>
      <c r="H223" s="69"/>
      <c r="I223" s="69"/>
      <c r="J223" s="149"/>
      <c r="K223" s="206"/>
      <c r="L223" s="209">
        <v>223</v>
      </c>
      <c r="M223" s="69"/>
      <c r="N223" s="69">
        <v>3000</v>
      </c>
      <c r="O223" s="69">
        <v>3000</v>
      </c>
      <c r="P223" s="69">
        <v>3000</v>
      </c>
      <c r="Q223" s="69">
        <v>3000</v>
      </c>
      <c r="R223" s="69">
        <v>3000</v>
      </c>
      <c r="S223" s="69">
        <v>3000</v>
      </c>
      <c r="T223" s="69"/>
      <c r="U223" s="69">
        <f t="shared" si="90"/>
        <v>223</v>
      </c>
      <c r="V223" s="69"/>
      <c r="W223" s="69">
        <f t="shared" si="91"/>
        <v>18000</v>
      </c>
      <c r="X223" s="317"/>
    </row>
    <row r="224" spans="1:24" ht="15.75" customHeight="1" outlineLevel="1">
      <c r="A224" s="48"/>
      <c r="B224" s="49" t="s">
        <v>164</v>
      </c>
      <c r="C224" s="332" t="s">
        <v>110</v>
      </c>
      <c r="D224" s="330"/>
      <c r="E224" s="50">
        <v>45658</v>
      </c>
      <c r="F224" s="50">
        <v>46021</v>
      </c>
      <c r="G224" s="177" t="s">
        <v>34</v>
      </c>
      <c r="H224" s="142">
        <v>1278</v>
      </c>
      <c r="I224" s="142">
        <v>1141</v>
      </c>
      <c r="J224" s="179">
        <v>1104</v>
      </c>
      <c r="K224" s="179">
        <v>2064</v>
      </c>
      <c r="L224" s="223">
        <v>528</v>
      </c>
      <c r="M224" s="181">
        <v>760</v>
      </c>
      <c r="N224" s="142"/>
      <c r="O224" s="142"/>
      <c r="P224" s="142"/>
      <c r="Q224" s="142"/>
      <c r="R224" s="142"/>
      <c r="S224" s="142"/>
      <c r="T224" s="142"/>
      <c r="U224" s="142">
        <f t="shared" si="90"/>
        <v>6875</v>
      </c>
      <c r="V224" s="142"/>
      <c r="W224" s="142">
        <f t="shared" si="91"/>
        <v>0</v>
      </c>
      <c r="X224" s="316"/>
    </row>
    <row r="225" spans="1:24" ht="15.75" customHeight="1" outlineLevel="1">
      <c r="A225" s="48"/>
      <c r="B225" s="49" t="s">
        <v>165</v>
      </c>
      <c r="C225" s="332" t="s">
        <v>112</v>
      </c>
      <c r="D225" s="330"/>
      <c r="E225" s="50">
        <v>45748</v>
      </c>
      <c r="F225" s="50">
        <v>46021</v>
      </c>
      <c r="G225" s="177" t="s">
        <v>34</v>
      </c>
      <c r="H225" s="142"/>
      <c r="I225" s="142"/>
      <c r="J225" s="179">
        <v>765</v>
      </c>
      <c r="K225" s="179">
        <v>684</v>
      </c>
      <c r="L225" s="223">
        <v>344</v>
      </c>
      <c r="M225" s="181">
        <v>634</v>
      </c>
      <c r="N225" s="142"/>
      <c r="O225" s="142"/>
      <c r="P225" s="142"/>
      <c r="Q225" s="142"/>
      <c r="R225" s="142"/>
      <c r="S225" s="142"/>
      <c r="T225" s="142"/>
      <c r="U225" s="142">
        <f t="shared" si="90"/>
        <v>2427</v>
      </c>
      <c r="V225" s="142"/>
      <c r="W225" s="142">
        <f t="shared" si="91"/>
        <v>0</v>
      </c>
      <c r="X225" s="316"/>
    </row>
    <row r="226" spans="1:24" ht="15.75" customHeight="1">
      <c r="A226" s="48"/>
      <c r="B226" s="58"/>
      <c r="C226" s="123"/>
      <c r="D226" s="123"/>
      <c r="E226" s="60"/>
      <c r="F226" s="60"/>
      <c r="G226" s="60"/>
      <c r="H226" s="183"/>
      <c r="I226" s="184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48"/>
      <c r="U226" s="48"/>
      <c r="V226" s="48"/>
      <c r="W226" s="48"/>
      <c r="X226" s="48"/>
    </row>
    <row r="227" spans="1:24" ht="15.75" customHeight="1">
      <c r="A227" s="48"/>
      <c r="B227" s="58"/>
      <c r="C227" s="123"/>
      <c r="D227" s="123"/>
      <c r="E227" s="60"/>
      <c r="F227" s="60"/>
      <c r="G227" s="60"/>
      <c r="H227" s="183"/>
      <c r="I227" s="184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48"/>
      <c r="U227" s="48"/>
      <c r="V227" s="48"/>
      <c r="W227" s="48"/>
      <c r="X227" s="48"/>
    </row>
    <row r="228" spans="1:24" ht="15.75" customHeight="1">
      <c r="A228" s="48"/>
      <c r="B228" s="58"/>
      <c r="C228" s="123"/>
      <c r="D228" s="123"/>
      <c r="E228" s="60"/>
      <c r="F228" s="60"/>
      <c r="G228" s="60"/>
      <c r="H228" s="183"/>
      <c r="I228" s="184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48"/>
      <c r="U228" s="48"/>
      <c r="V228" s="48"/>
      <c r="W228" s="48"/>
      <c r="X228" s="48"/>
    </row>
    <row r="229" spans="1:24" ht="15.75" customHeight="1">
      <c r="A229" s="48"/>
      <c r="B229" s="58"/>
      <c r="C229" s="123"/>
      <c r="D229" s="123"/>
      <c r="E229" s="60"/>
      <c r="F229" s="60"/>
      <c r="G229" s="60"/>
      <c r="H229" s="183"/>
      <c r="I229" s="184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48"/>
      <c r="U229" s="48"/>
      <c r="V229" s="48"/>
      <c r="W229" s="48"/>
      <c r="X229" s="48"/>
    </row>
    <row r="230" spans="1:24" ht="15.75" customHeight="1">
      <c r="A230" s="48"/>
      <c r="B230" s="58"/>
      <c r="C230" s="123"/>
      <c r="D230" s="123"/>
      <c r="F230" s="123"/>
      <c r="G230" s="60"/>
      <c r="I230" s="123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48"/>
      <c r="U230" s="48"/>
      <c r="V230" s="48"/>
      <c r="W230" s="48"/>
      <c r="X230" s="48"/>
    </row>
    <row r="231" spans="1:24" ht="15.75" customHeight="1">
      <c r="A231" s="48"/>
      <c r="B231" s="58"/>
      <c r="C231" s="186"/>
      <c r="D231" s="186"/>
      <c r="E231" s="60"/>
      <c r="F231" s="58"/>
      <c r="G231" s="60"/>
      <c r="H231" s="183"/>
      <c r="I231" s="184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48"/>
      <c r="U231" s="48"/>
      <c r="V231" s="48"/>
      <c r="W231" s="48"/>
      <c r="X231" s="48"/>
    </row>
    <row r="232" spans="1:24" ht="15.75" customHeight="1">
      <c r="A232" s="48"/>
      <c r="B232" s="58"/>
      <c r="C232" s="123"/>
      <c r="D232" s="123"/>
      <c r="E232" s="60"/>
      <c r="F232" s="58"/>
      <c r="G232" s="60"/>
      <c r="H232" s="183"/>
      <c r="I232" s="184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48"/>
      <c r="U232" s="48"/>
      <c r="V232" s="48"/>
      <c r="W232" s="48"/>
      <c r="X232" s="48"/>
    </row>
    <row r="233" spans="1:24" ht="15.75" customHeight="1">
      <c r="A233" s="48"/>
      <c r="B233" s="58"/>
      <c r="C233" s="123"/>
      <c r="D233" s="123"/>
      <c r="E233" s="60"/>
      <c r="F233" s="58"/>
      <c r="G233" s="60"/>
      <c r="H233" s="183"/>
      <c r="I233" s="184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48"/>
      <c r="U233" s="48"/>
      <c r="V233" s="48"/>
      <c r="W233" s="48"/>
      <c r="X233" s="48"/>
    </row>
    <row r="234" spans="1:24" ht="15.75" customHeight="1">
      <c r="A234" s="48"/>
      <c r="B234" s="58"/>
      <c r="C234" s="123"/>
      <c r="D234" s="123"/>
      <c r="E234" s="60"/>
      <c r="F234" s="58"/>
      <c r="G234" s="60"/>
      <c r="H234" s="183"/>
      <c r="I234" s="184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48"/>
      <c r="U234" s="48"/>
      <c r="V234" s="48"/>
      <c r="W234" s="48"/>
      <c r="X234" s="48"/>
    </row>
    <row r="235" spans="1:24" ht="15.75" customHeight="1">
      <c r="A235" s="48"/>
      <c r="B235" s="58"/>
      <c r="C235" s="123"/>
      <c r="D235" s="123"/>
      <c r="E235" s="60"/>
      <c r="F235" s="58"/>
      <c r="G235" s="60"/>
      <c r="H235" s="183"/>
      <c r="I235" s="184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48"/>
      <c r="U235" s="48"/>
      <c r="V235" s="48"/>
      <c r="W235" s="48"/>
      <c r="X235" s="48"/>
    </row>
    <row r="236" spans="1:24" ht="15.75" customHeight="1">
      <c r="A236" s="48"/>
      <c r="B236" s="58"/>
      <c r="C236" s="123"/>
      <c r="D236" s="123"/>
      <c r="E236" s="60"/>
      <c r="F236" s="58"/>
      <c r="G236" s="60"/>
      <c r="H236" s="183"/>
      <c r="I236" s="184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48"/>
      <c r="U236" s="48"/>
      <c r="V236" s="48"/>
      <c r="W236" s="48"/>
      <c r="X236" s="48"/>
    </row>
    <row r="237" spans="1:24" ht="15.75" customHeight="1">
      <c r="A237" s="48"/>
      <c r="B237" s="58"/>
      <c r="C237" s="123"/>
      <c r="D237" s="123"/>
      <c r="E237" s="60"/>
      <c r="F237" s="60"/>
      <c r="G237" s="60"/>
      <c r="H237" s="183"/>
      <c r="I237" s="184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48"/>
      <c r="U237" s="48"/>
      <c r="V237" s="48"/>
      <c r="W237" s="48"/>
      <c r="X237" s="48"/>
    </row>
    <row r="238" spans="1:24" ht="15.75" customHeight="1">
      <c r="A238" s="48"/>
      <c r="B238" s="58"/>
      <c r="C238" s="123"/>
      <c r="D238" s="123"/>
      <c r="E238" s="60"/>
      <c r="F238" s="60"/>
      <c r="G238" s="60"/>
      <c r="H238" s="183"/>
      <c r="I238" s="184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48"/>
      <c r="U238" s="48"/>
      <c r="V238" s="48"/>
      <c r="W238" s="48"/>
      <c r="X238" s="48"/>
    </row>
    <row r="239" spans="1:24" ht="15.75" customHeight="1">
      <c r="A239" s="48"/>
      <c r="B239" s="58"/>
      <c r="C239" s="123"/>
      <c r="D239" s="123"/>
      <c r="E239" s="60"/>
      <c r="F239" s="60"/>
      <c r="G239" s="60"/>
      <c r="H239" s="183"/>
      <c r="I239" s="184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48"/>
      <c r="U239" s="48"/>
      <c r="V239" s="48"/>
      <c r="W239" s="48"/>
      <c r="X239" s="48"/>
    </row>
    <row r="240" spans="1:24" ht="15.75" customHeight="1">
      <c r="A240" s="48"/>
      <c r="B240" s="58"/>
      <c r="C240" s="123"/>
      <c r="D240" s="123"/>
      <c r="E240" s="60"/>
      <c r="F240" s="60"/>
      <c r="G240" s="60"/>
      <c r="H240" s="183"/>
      <c r="I240" s="184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48"/>
      <c r="U240" s="48"/>
      <c r="V240" s="48"/>
      <c r="W240" s="48"/>
      <c r="X240" s="48"/>
    </row>
    <row r="241" spans="1:24" ht="15.75" customHeight="1">
      <c r="A241" s="48"/>
      <c r="B241" s="58"/>
      <c r="C241" s="123"/>
      <c r="D241" s="123"/>
      <c r="E241" s="60"/>
      <c r="F241" s="60"/>
      <c r="G241" s="60"/>
      <c r="H241" s="183"/>
      <c r="I241" s="184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48"/>
      <c r="U241" s="48"/>
      <c r="V241" s="48"/>
      <c r="W241" s="48"/>
      <c r="X241" s="48"/>
    </row>
    <row r="242" spans="1:24" ht="15.75" customHeight="1">
      <c r="A242" s="48"/>
      <c r="B242" s="58"/>
      <c r="C242" s="123"/>
      <c r="D242" s="123"/>
      <c r="E242" s="60"/>
      <c r="F242" s="60"/>
      <c r="G242" s="60"/>
      <c r="H242" s="183"/>
      <c r="I242" s="184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48"/>
      <c r="U242" s="48"/>
      <c r="V242" s="48"/>
      <c r="W242" s="48"/>
      <c r="X242" s="48"/>
    </row>
    <row r="243" spans="1:24" ht="15.75" customHeight="1">
      <c r="A243" s="48"/>
      <c r="B243" s="58"/>
      <c r="C243" s="123"/>
      <c r="D243" s="123"/>
      <c r="E243" s="60"/>
      <c r="F243" s="60"/>
      <c r="G243" s="60"/>
      <c r="H243" s="183"/>
      <c r="I243" s="184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48"/>
      <c r="U243" s="48"/>
      <c r="V243" s="48"/>
      <c r="W243" s="48"/>
      <c r="X243" s="48"/>
    </row>
    <row r="244" spans="1:24" ht="15.75" customHeight="1">
      <c r="A244" s="48"/>
      <c r="B244" s="58"/>
      <c r="C244" s="123"/>
      <c r="D244" s="123"/>
      <c r="E244" s="60"/>
      <c r="F244" s="60"/>
      <c r="G244" s="60"/>
      <c r="H244" s="183"/>
      <c r="I244" s="184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48"/>
      <c r="U244" s="48"/>
      <c r="V244" s="48"/>
      <c r="W244" s="48"/>
      <c r="X244" s="48"/>
    </row>
    <row r="245" spans="1:24" ht="15.75" customHeight="1">
      <c r="A245" s="48"/>
      <c r="B245" s="58"/>
      <c r="C245" s="123"/>
      <c r="D245" s="123"/>
      <c r="E245" s="60"/>
      <c r="F245" s="60"/>
      <c r="G245" s="60"/>
      <c r="H245" s="183"/>
      <c r="I245" s="184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48"/>
      <c r="U245" s="48"/>
      <c r="V245" s="48"/>
      <c r="W245" s="48"/>
      <c r="X245" s="48"/>
    </row>
    <row r="246" spans="1:24" ht="15.75" customHeight="1">
      <c r="A246" s="48"/>
      <c r="B246" s="58"/>
      <c r="C246" s="123"/>
      <c r="D246" s="123"/>
      <c r="E246" s="60"/>
      <c r="F246" s="60"/>
      <c r="G246" s="60"/>
      <c r="H246" s="183"/>
      <c r="I246" s="184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48"/>
      <c r="U246" s="48"/>
      <c r="V246" s="48"/>
      <c r="W246" s="48"/>
      <c r="X246" s="48"/>
    </row>
    <row r="247" spans="1:24" ht="15.75" customHeight="1">
      <c r="A247" s="48"/>
      <c r="B247" s="58"/>
      <c r="C247" s="123"/>
      <c r="D247" s="123"/>
      <c r="E247" s="60"/>
      <c r="F247" s="60"/>
      <c r="G247" s="60"/>
      <c r="H247" s="183"/>
      <c r="I247" s="184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48"/>
      <c r="U247" s="48"/>
      <c r="V247" s="48"/>
      <c r="W247" s="48"/>
      <c r="X247" s="48"/>
    </row>
    <row r="248" spans="1:24" ht="15.75" customHeight="1">
      <c r="A248" s="48"/>
      <c r="B248" s="58"/>
      <c r="C248" s="123"/>
      <c r="D248" s="123"/>
      <c r="E248" s="60"/>
      <c r="F248" s="60"/>
      <c r="G248" s="60"/>
      <c r="H248" s="183"/>
      <c r="I248" s="184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48"/>
      <c r="U248" s="48"/>
      <c r="V248" s="48"/>
      <c r="W248" s="48"/>
      <c r="X248" s="48"/>
    </row>
    <row r="249" spans="1:24" ht="15.75" customHeight="1">
      <c r="A249" s="48"/>
      <c r="B249" s="58"/>
      <c r="C249" s="123"/>
      <c r="D249" s="123"/>
      <c r="E249" s="60"/>
      <c r="F249" s="60"/>
      <c r="G249" s="60"/>
      <c r="H249" s="183"/>
      <c r="I249" s="184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48"/>
      <c r="U249" s="48"/>
      <c r="V249" s="48"/>
      <c r="W249" s="48"/>
      <c r="X249" s="48"/>
    </row>
    <row r="250" spans="1:24" ht="15.75" customHeight="1">
      <c r="A250" s="48"/>
      <c r="B250" s="58"/>
      <c r="C250" s="123"/>
      <c r="D250" s="123"/>
      <c r="E250" s="60"/>
      <c r="F250" s="60"/>
      <c r="G250" s="60"/>
      <c r="H250" s="183"/>
      <c r="I250" s="184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48"/>
      <c r="U250" s="48"/>
      <c r="V250" s="48"/>
      <c r="W250" s="48"/>
      <c r="X250" s="48"/>
    </row>
    <row r="251" spans="1:24" ht="15.75" customHeight="1">
      <c r="A251" s="48"/>
      <c r="B251" s="58"/>
      <c r="C251" s="123"/>
      <c r="D251" s="123"/>
      <c r="E251" s="60"/>
      <c r="F251" s="60"/>
      <c r="G251" s="60"/>
      <c r="H251" s="183"/>
      <c r="I251" s="184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48"/>
      <c r="U251" s="48"/>
      <c r="V251" s="48"/>
      <c r="W251" s="48"/>
      <c r="X251" s="48"/>
    </row>
  </sheetData>
  <autoFilter ref="A10:W225" xr:uid="{00000000-0009-0000-0000-000006000000}"/>
  <mergeCells count="67">
    <mergeCell ref="C159:D159"/>
    <mergeCell ref="C202:D202"/>
    <mergeCell ref="C207:D207"/>
    <mergeCell ref="C122:D122"/>
    <mergeCell ref="C129:D129"/>
    <mergeCell ref="C137:D137"/>
    <mergeCell ref="C144:D144"/>
    <mergeCell ref="C151:D151"/>
    <mergeCell ref="C85:D85"/>
    <mergeCell ref="C93:D93"/>
    <mergeCell ref="C100:D100"/>
    <mergeCell ref="C107:D107"/>
    <mergeCell ref="C115:D115"/>
    <mergeCell ref="C49:D49"/>
    <mergeCell ref="C56:D56"/>
    <mergeCell ref="C63:D63"/>
    <mergeCell ref="C70:D70"/>
    <mergeCell ref="C78:D78"/>
    <mergeCell ref="C12:D12"/>
    <mergeCell ref="C19:D19"/>
    <mergeCell ref="C26:D26"/>
    <mergeCell ref="C33:D33"/>
    <mergeCell ref="C41:D41"/>
    <mergeCell ref="T8:U8"/>
    <mergeCell ref="V8:W8"/>
    <mergeCell ref="B5:C5"/>
    <mergeCell ref="B6:C6"/>
    <mergeCell ref="E6:F6"/>
    <mergeCell ref="B8:B9"/>
    <mergeCell ref="C8:C9"/>
    <mergeCell ref="D8:D9"/>
    <mergeCell ref="E8:E9"/>
    <mergeCell ref="E5:F5"/>
    <mergeCell ref="O5:S5"/>
    <mergeCell ref="F8:F9"/>
    <mergeCell ref="G8:G9"/>
    <mergeCell ref="H8:J8"/>
    <mergeCell ref="K8:M8"/>
    <mergeCell ref="N8:P8"/>
    <mergeCell ref="Q8:S8"/>
    <mergeCell ref="B2:F2"/>
    <mergeCell ref="H2:M2"/>
    <mergeCell ref="N2:S2"/>
    <mergeCell ref="B4:C4"/>
    <mergeCell ref="O4:S4"/>
    <mergeCell ref="C217:D217"/>
    <mergeCell ref="C218:D218"/>
    <mergeCell ref="C220:D220"/>
    <mergeCell ref="C224:D224"/>
    <mergeCell ref="C225:D225"/>
    <mergeCell ref="C192:D192"/>
    <mergeCell ref="C193:D193"/>
    <mergeCell ref="C211:D211"/>
    <mergeCell ref="C215:D215"/>
    <mergeCell ref="C216:D216"/>
    <mergeCell ref="C194:D194"/>
    <mergeCell ref="C195:D195"/>
    <mergeCell ref="C196:D196"/>
    <mergeCell ref="C197:D197"/>
    <mergeCell ref="C198:D198"/>
    <mergeCell ref="C199:D199"/>
    <mergeCell ref="C200:D200"/>
    <mergeCell ref="C162:D162"/>
    <mergeCell ref="C169:D169"/>
    <mergeCell ref="C176:D176"/>
    <mergeCell ref="C183:D183"/>
    <mergeCell ref="C191:D191"/>
  </mergeCells>
  <conditionalFormatting sqref="H19 H12 H26 H33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printOptions horizontalCentered="1" gridLines="1"/>
  <pageMargins left="0.25" right="0.25" top="0.75" bottom="0.75" header="0" footer="0"/>
  <pageSetup fitToWidth="0" pageOrder="overThenDown" orientation="landscape" cellComments="atEnd"/>
  <headerFooter>
    <oddHeader>&amp;R&amp;"Aptos"&amp;10&amp;K000000 Company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version before LTP cuts 180825</vt:lpstr>
      <vt:lpstr>V2 2025 budget digital</vt:lpstr>
      <vt:lpstr>V2 of Summary</vt:lpstr>
      <vt:lpstr>Simulation 2025 budget digital</vt:lpstr>
      <vt:lpstr>Copy of V2 2025 budget digital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Miglena Koycheva Slavova</cp:lastModifiedBy>
  <dcterms:modified xsi:type="dcterms:W3CDTF">2025-11-24T10:36:48Z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1c2b2-8dc1-4925-b832-228993216bff_Enabled">
    <vt:lpwstr>true</vt:lpwstr>
  </property>
  <property fmtid="{D5CDD505-2E9C-101B-9397-08002B2CF9AE}" pid="3" name="MSIP_Label_4921c2b2-8dc1-4925-b832-228993216bff_SetDate">
    <vt:lpwstr>2025-11-24T10:28:28Z</vt:lpwstr>
  </property>
  <property fmtid="{D5CDD505-2E9C-101B-9397-08002B2CF9AE}" pid="4" name="MSIP_Label_4921c2b2-8dc1-4925-b832-228993216bff_Method">
    <vt:lpwstr>Privileged</vt:lpwstr>
  </property>
  <property fmtid="{D5CDD505-2E9C-101B-9397-08002B2CF9AE}" pid="5" name="MSIP_Label_4921c2b2-8dc1-4925-b832-228993216bff_Name">
    <vt:lpwstr>Company Confidential</vt:lpwstr>
  </property>
  <property fmtid="{D5CDD505-2E9C-101B-9397-08002B2CF9AE}" pid="6" name="MSIP_Label_4921c2b2-8dc1-4925-b832-228993216bff_SiteId">
    <vt:lpwstr>169bbd4f-4054-49cd-a5c7-0244ab23e3a8</vt:lpwstr>
  </property>
  <property fmtid="{D5CDD505-2E9C-101B-9397-08002B2CF9AE}" pid="7" name="MSIP_Label_4921c2b2-8dc1-4925-b832-228993216bff_ActionId">
    <vt:lpwstr>57b82a12-99b3-4b14-9f28-d4380b3405ee</vt:lpwstr>
  </property>
  <property fmtid="{D5CDD505-2E9C-101B-9397-08002B2CF9AE}" pid="8" name="MSIP_Label_4921c2b2-8dc1-4925-b832-228993216bff_ContentBits">
    <vt:lpwstr>1</vt:lpwstr>
  </property>
  <property fmtid="{D5CDD505-2E9C-101B-9397-08002B2CF9AE}" pid="9" name="MSIP_Label_4921c2b2-8dc1-4925-b832-228993216bff_Tag">
    <vt:lpwstr>10, 0, 1, 1</vt:lpwstr>
  </property>
</Properties>
</file>